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F:\s\"/>
    </mc:Choice>
  </mc:AlternateContent>
  <xr:revisionPtr revIDLastSave="0" documentId="8_{5E7B6860-BB54-4C96-A46E-F2AF085CBCA7}" xr6:coauthVersionLast="47" xr6:coauthVersionMax="47" xr10:uidLastSave="{00000000-0000-0000-0000-000000000000}"/>
  <bookViews>
    <workbookView xWindow="-120" yWindow="-120" windowWidth="29040" windowHeight="15840" activeTab="1" xr2:uid="{00000000-000D-0000-FFFF-FFFF00000000}"/>
  </bookViews>
  <sheets>
    <sheet name="Sheet1" sheetId="2" r:id="rId1"/>
    <sheet name="Dash Board" sheetId="3" r:id="rId2"/>
  </sheets>
  <definedNames>
    <definedName name="Slicer_Category">#N/A</definedName>
    <definedName name="Slicer_Date_Hierarchy">#N/A</definedName>
    <definedName name="Slicer_OrderID">#N/A</definedName>
    <definedName name="Slicer_ProductName">#N/A</definedName>
    <definedName name="Slicer_Quantity">#N/A</definedName>
    <definedName name="Slicer_Region">#N/A</definedName>
    <definedName name="Slicer_Sales">#N/A</definedName>
  </definedNames>
  <calcPr calcId="191029"/>
  <pivotCaches>
    <pivotCache cacheId="1045" r:id="rId3"/>
    <pivotCache cacheId="1051" r:id="rId4"/>
    <pivotCache cacheId="1054" r:id="rId5"/>
    <pivotCache cacheId="1057" r:id="rId6"/>
    <pivotCache cacheId="1060" r:id="rId7"/>
    <pivotCache cacheId="1063" r:id="rId8"/>
    <pivotCache cacheId="1066" r:id="rId9"/>
    <pivotCache cacheId="1069" r:id="rId10"/>
    <pivotCache cacheId="1075" r:id="rId11"/>
    <pivotCache cacheId="1148" r:id="rId12"/>
  </pivotCaches>
  <extLst>
    <ext xmlns:x14="http://schemas.microsoft.com/office/spreadsheetml/2009/9/main" uri="{876F7934-8845-4945-9796-88D515C7AA90}">
      <x14:pivotCaches>
        <pivotCache cacheId="504" r:id="rId13"/>
        <pivotCache cacheId="979"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ea420fc7-1dda-42ed-ae04-f10eafe4b2fe" name="Customers" connection="Text Customers"/>
          <x15:modelTable id="Orders_1fa685a0-9dea-4bf9-a020-49fe302141e3" name="Orders" connection="Excel Orders"/>
          <x15:modelTable id="Products_3bd1805c-40bf-452d-9a48-d346f29a9c78" name="Products" connection="Text Products"/>
          <x15:modelTable id="Calendar" name="Calendar" connection="Connection"/>
        </x15:modelTables>
        <x15:modelRelationships>
          <x15:modelRelationship fromTable="Orders" fromColumn="ProductID" toTable="Products" toColumn="ProductID"/>
          <x15:modelRelationship fromTable="Orders" fromColumn="CustomerID" toTable="Customers" toColumn="CustomerID"/>
          <x15:modelRelationship fromTable="Orders" fromColumn="New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3" l="1"/>
  <c r="AE6" i="3"/>
  <c r="J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11FCD8-514D-462D-BC12-5609F30434D2}" name="Connection" type="104" refreshedVersion="0" background="1">
    <extLst>
      <ext xmlns:x15="http://schemas.microsoft.com/office/spreadsheetml/2010/11/main" uri="{DE250136-89BD-433C-8126-D09CA5730AF9}">
        <x15:connection id="Calendar"/>
      </ext>
    </extLst>
  </connection>
  <connection id="2" xr16:uid="{F82EB4DC-7EB1-471D-8119-11ECC8E268F7}" name="Excel Orders" type="100" refreshedVersion="0">
    <extLst>
      <ext xmlns:x15="http://schemas.microsoft.com/office/spreadsheetml/2010/11/main" uri="{DE250136-89BD-433C-8126-D09CA5730AF9}">
        <x15:connection id="8f11effd-61d5-420a-a999-38d459ed11b6"/>
      </ext>
    </extLst>
  </connection>
  <connection id="3" xr16:uid="{77DA3E08-978C-48BE-80CD-5B45B3F6D61F}" name="Text Customers" type="100" refreshedVersion="0">
    <extLst>
      <ext xmlns:x15="http://schemas.microsoft.com/office/spreadsheetml/2010/11/main" uri="{DE250136-89BD-433C-8126-D09CA5730AF9}">
        <x15:connection id="cbdf5f4f-099e-4782-b435-e3e5b32b1062"/>
      </ext>
    </extLst>
  </connection>
  <connection id="4" xr16:uid="{B7109673-D145-4ED7-A687-95829CFD5D79}" name="Text Products" type="100" refreshedVersion="0">
    <extLst>
      <ext xmlns:x15="http://schemas.microsoft.com/office/spreadsheetml/2010/11/main" uri="{DE250136-89BD-433C-8126-D09CA5730AF9}">
        <x15:connection id="c74b1f76-b733-49e0-a9d7-ac26359f0fd3"/>
      </ext>
    </extLst>
  </connection>
  <connection id="5" xr16:uid="{0A1496A4-6746-490C-91F4-39303BA8E9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<sst xmlns="http://schemas.openxmlformats.org/spreadsheetml/2006/main" count="129" uniqueCount="60">
  <si>
    <t>Column Labels</t>
  </si>
  <si>
    <t>Grand Total</t>
  </si>
  <si>
    <t>Row Labels</t>
  </si>
  <si>
    <t>January</t>
  </si>
  <si>
    <t>February</t>
  </si>
  <si>
    <t>March</t>
  </si>
  <si>
    <t>April</t>
  </si>
  <si>
    <t>May</t>
  </si>
  <si>
    <t>June</t>
  </si>
  <si>
    <t>July</t>
  </si>
  <si>
    <t>August</t>
  </si>
  <si>
    <t>September</t>
  </si>
  <si>
    <t>October</t>
  </si>
  <si>
    <t>November</t>
  </si>
  <si>
    <t>December</t>
  </si>
  <si>
    <t>Ball</t>
  </si>
  <si>
    <t>Bed</t>
  </si>
  <si>
    <t>Camera</t>
  </si>
  <si>
    <t>Car Toy</t>
  </si>
  <si>
    <t>Chair</t>
  </si>
  <si>
    <t>Comics</t>
  </si>
  <si>
    <t>Doll</t>
  </si>
  <si>
    <t>Dress</t>
  </si>
  <si>
    <t>Headphones</t>
  </si>
  <si>
    <t>Jacket</t>
  </si>
  <si>
    <t>Laptop</t>
  </si>
  <si>
    <t>Lego</t>
  </si>
  <si>
    <t>Magazine</t>
  </si>
  <si>
    <t>Notebook</t>
  </si>
  <si>
    <t>Novel</t>
  </si>
  <si>
    <t>Pants</t>
  </si>
  <si>
    <t>Phone</t>
  </si>
  <si>
    <t>Puzzle</t>
  </si>
  <si>
    <t>Shirt</t>
  </si>
  <si>
    <t>Shoes</t>
  </si>
  <si>
    <t>Sofa</t>
  </si>
  <si>
    <t>Table</t>
  </si>
  <si>
    <t>Tablet</t>
  </si>
  <si>
    <t>Textbook</t>
  </si>
  <si>
    <t>Wardrobe</t>
  </si>
  <si>
    <t>Total Sales</t>
  </si>
  <si>
    <t>Alexandria</t>
  </si>
  <si>
    <t>Aswan</t>
  </si>
  <si>
    <t>Cairo</t>
  </si>
  <si>
    <t>Giza</t>
  </si>
  <si>
    <t>Mansoura</t>
  </si>
  <si>
    <t>Count of OrderID</t>
  </si>
  <si>
    <t>Books</t>
  </si>
  <si>
    <t>Clothing</t>
  </si>
  <si>
    <t>Electronics</t>
  </si>
  <si>
    <t>Furniture</t>
  </si>
  <si>
    <t>Toys</t>
  </si>
  <si>
    <t>Sum of Sales</t>
  </si>
  <si>
    <t>Count of ProductID</t>
  </si>
  <si>
    <t>Count of Quantity</t>
  </si>
  <si>
    <t>Sales &amp; Orders Performance Analysis</t>
  </si>
  <si>
    <t>Total Quantity</t>
  </si>
  <si>
    <t>Total Orders</t>
  </si>
  <si>
    <t>Values</t>
  </si>
  <si>
    <t>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</si>
</sst>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75" formatCode="_-[$$-409]* #,##0.00_ ;_-[$$-409]* \-#,##0.00\ ;_-[$$-409]* &quot;-&quot;??_ ;_-@_ "/>
    <numFmt numFmtId="177" formatCode="_-[$$-409]* #,##0_ ;_-[$$-409]* \-#,##0\ ;_-[$$-409]* &quot;-&quot;??_ ;_-@_ "/>
  </numFmts>
  <fonts count="7" x14ac:knownFonts="1">
    <font>
      <sz val="11"/>
      <color theme="1"/>
      <name val="Arial"/>
      <family val="2"/>
      <scheme val="minor"/>
    </font>
    <font>
      <sz val="11"/>
      <color theme="1"/>
      <name val="Arial"/>
      <family val="2"/>
      <scheme val="minor"/>
    </font>
    <font>
      <sz val="11"/>
      <color theme="0"/>
      <name val="Arial"/>
      <family val="2"/>
      <scheme val="minor"/>
    </font>
    <font>
      <b/>
      <sz val="16"/>
      <color theme="0"/>
      <name val="Arial"/>
      <family val="2"/>
      <scheme val="minor"/>
    </font>
    <font>
      <b/>
      <sz val="18"/>
      <color theme="1"/>
      <name val="Arial"/>
      <family val="2"/>
      <scheme val="minor"/>
    </font>
    <font>
      <b/>
      <sz val="18"/>
      <color theme="0"/>
      <name val="Arial"/>
      <family val="2"/>
      <scheme val="minor"/>
    </font>
    <font>
      <b/>
      <sz val="20"/>
      <color theme="0"/>
      <name val="Arial"/>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thin">
        <color theme="0"/>
      </right>
      <top/>
      <bottom/>
      <diagonal/>
    </border>
    <border>
      <left style="thin">
        <color theme="0"/>
      </left>
      <right/>
      <top/>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2" borderId="0" xfId="0" applyFill="1"/>
    <xf numFmtId="0" fontId="0" fillId="3" borderId="0" xfId="0" applyFill="1"/>
    <xf numFmtId="0" fontId="0" fillId="4" borderId="0" xfId="0" applyFill="1"/>
    <xf numFmtId="0" fontId="0" fillId="0" borderId="0" xfId="0" applyNumberFormat="1"/>
    <xf numFmtId="10" fontId="0" fillId="0" borderId="0" xfId="0" applyNumberFormat="1"/>
    <xf numFmtId="177" fontId="0" fillId="0" borderId="0" xfId="0" applyNumberFormat="1"/>
    <xf numFmtId="0" fontId="0" fillId="0" borderId="1" xfId="0" applyBorder="1"/>
    <xf numFmtId="0" fontId="0" fillId="0" borderId="3" xfId="0" applyBorder="1"/>
    <xf numFmtId="0" fontId="0" fillId="0" borderId="4" xfId="0" applyBorder="1"/>
    <xf numFmtId="9" fontId="0" fillId="0" borderId="0" xfId="1" applyFont="1"/>
    <xf numFmtId="177" fontId="0" fillId="0" borderId="2" xfId="0" applyNumberFormat="1" applyBorder="1"/>
    <xf numFmtId="177" fontId="0" fillId="0" borderId="5" xfId="0" applyNumberFormat="1" applyBorder="1"/>
    <xf numFmtId="177" fontId="0" fillId="0" borderId="6" xfId="0" applyNumberFormat="1" applyBorder="1"/>
    <xf numFmtId="177" fontId="0" fillId="0" borderId="7" xfId="0" applyNumberFormat="1" applyBorder="1"/>
    <xf numFmtId="177" fontId="0" fillId="0" borderId="8" xfId="0" applyNumberFormat="1" applyBorder="1"/>
    <xf numFmtId="177" fontId="0" fillId="0" borderId="9" xfId="0" applyNumberFormat="1" applyBorder="1"/>
    <xf numFmtId="0" fontId="4" fillId="2" borderId="0" xfId="0" applyFont="1" applyFill="1" applyAlignment="1">
      <alignment horizontal="center" vertical="center"/>
    </xf>
    <xf numFmtId="0" fontId="5" fillId="2" borderId="0" xfId="0" applyFont="1" applyFill="1" applyAlignment="1">
      <alignment horizontal="center" vertical="center"/>
    </xf>
    <xf numFmtId="0" fontId="3" fillId="2" borderId="0" xfId="0" applyFont="1" applyFill="1" applyBorder="1" applyAlignment="1">
      <alignment horizontal="center" vertical="center"/>
    </xf>
    <xf numFmtId="175" fontId="3" fillId="2" borderId="0" xfId="0" applyNumberFormat="1" applyFont="1" applyFill="1" applyBorder="1" applyAlignment="1">
      <alignment horizontal="center" vertical="center"/>
    </xf>
    <xf numFmtId="0" fontId="0" fillId="4" borderId="10" xfId="0" applyFill="1" applyBorder="1"/>
    <xf numFmtId="0" fontId="5" fillId="2" borderId="0"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10" xfId="0" applyFont="1" applyFill="1" applyBorder="1" applyAlignment="1">
      <alignment horizontal="center" vertical="center"/>
    </xf>
    <xf numFmtId="0" fontId="3" fillId="2" borderId="10" xfId="0" applyFont="1" applyFill="1" applyBorder="1" applyAlignment="1">
      <alignment horizontal="center" vertical="center"/>
    </xf>
    <xf numFmtId="0" fontId="6" fillId="3" borderId="0" xfId="0" applyFont="1" applyFill="1" applyAlignment="1">
      <alignment horizontal="center" vertical="center"/>
    </xf>
    <xf numFmtId="0" fontId="2" fillId="3" borderId="0" xfId="0" applyFont="1" applyFill="1" applyAlignment="1">
      <alignment horizontal="center" vertical="center"/>
    </xf>
    <xf numFmtId="0" fontId="5" fillId="2" borderId="11" xfId="0" applyFont="1" applyFill="1" applyBorder="1" applyAlignment="1">
      <alignment horizontal="center" vertical="center"/>
    </xf>
  </cellXfs>
  <cellStyles count="2">
    <cellStyle name="Normal" xfId="0" builtinId="0"/>
    <cellStyle name="Percent" xfId="1" builtinId="5"/>
  </cellStyles>
  <dxfs count="5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77"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0" formatCode="General"/>
    </dxf>
    <dxf>
      <numFmt numFmtId="177" formatCode="_-[$$-409]* #,##0_ ;_-[$$-409]* \-#,##0\ ;_-[$$-409]* &quot;-&quot;??_ ;_-@_ "/>
    </dxf>
    <dxf>
      <numFmt numFmtId="164" formatCode="&quot;£&quot;#,##0"/>
    </dxf>
    <dxf>
      <numFmt numFmtId="177" formatCode="_-[$$-409]* #,##0_ ;_-[$$-409]* \-#,##0\ ;_-[$$-409]* &quot;-&quot;??_ ;_-@_ "/>
    </dxf>
    <dxf>
      <numFmt numFmtId="164" formatCode="&quot;£&quot;#,##0"/>
    </dxf>
    <dxf>
      <numFmt numFmtId="177" formatCode="_-[$$-409]* #,##0_ ;_-[$$-409]* \-#,##0\ ;_-[$$-409]* &quot;-&quot;??_ ;_-@_ "/>
    </dxf>
    <dxf>
      <numFmt numFmtId="164" formatCode="&quot;£&quot;#,##0"/>
    </dxf>
    <dxf>
      <numFmt numFmtId="177" formatCode="_-[$$-409]* #,##0_ ;_-[$$-409]* \-#,##0\ ;_-[$$-409]* &quot;-&quot;??_ ;_-@_ "/>
    </dxf>
    <dxf>
      <numFmt numFmtId="14" formatCode="0.00%"/>
    </dxf>
    <dxf>
      <numFmt numFmtId="0" formatCode="General"/>
    </dxf>
    <dxf>
      <numFmt numFmtId="177" formatCode="_-[$$-409]* #,##0_ ;_-[$$-409]* \-#,##0\ ;_-[$$-409]* &quot;-&quot;??_ ;_-@_ "/>
    </dxf>
    <dxf>
      <numFmt numFmtId="0" formatCode="General"/>
    </dxf>
    <dxf>
      <numFmt numFmtId="14" formatCode="0.00%"/>
    </dxf>
    <dxf>
      <numFmt numFmtId="0" formatCode="General"/>
    </dxf>
    <dxf>
      <numFmt numFmtId="177" formatCode="_-[$$-409]* #,##0_ ;_-[$$-409]* \-#,##0\ ;_-[$$-409]* &quot;-&quot;??_ ;_-@_ "/>
    </dxf>
    <dxf>
      <numFmt numFmtId="164" formatCode="&quot;£&quot;#,##0"/>
    </dxf>
    <dxf>
      <numFmt numFmtId="164" formatCode="&quot;£&quot;#,##0"/>
    </dxf>
    <dxf>
      <numFmt numFmtId="177" formatCode="_-[$$-409]* #,##0_ ;_-[$$-409]* \-#,##0\ ;_-[$$-409]* &quot;-&quot;??_ ;_-@_ "/>
    </dxf>
    <dxf>
      <numFmt numFmtId="13" formatCode="0%"/>
    </dxf>
    <dxf>
      <numFmt numFmtId="177" formatCode="_-[$$-409]* #,##0_ ;_-[$$-409]* \-#,##0\ ;_-[$$-409]* &quot;-&quot;??_ ;_-@_ "/>
    </dxf>
    <dxf>
      <numFmt numFmtId="164" formatCode="&quot;£&quot;#,##0"/>
    </dxf>
    <dxf>
      <numFmt numFmtId="13" formatCode="0%"/>
    </dxf>
    <dxf>
      <numFmt numFmtId="14" formatCode="0.00%"/>
    </dxf>
    <dxf>
      <numFmt numFmtId="164" formatCode="&quot;£&quot;#,##0"/>
    </dxf>
    <dxf>
      <numFmt numFmtId="1" formatCode="0"/>
    </dxf>
    <dxf>
      <numFmt numFmtId="164" formatCode="&quot;£&quot;#,##0"/>
    </dxf>
    <dxf>
      <numFmt numFmtId="164" formatCode="&quot;£&quot;#,##0"/>
    </dxf>
    <dxf>
      <numFmt numFmtId="177" formatCode="_-[$$-409]* #,##0_ ;_-[$$-409]* \-#,##0\ ;_-[$$-409]* &quot;-&quot;??_ ;_-@_ "/>
    </dxf>
  </dxfs>
  <tableStyles count="0" defaultTableStyle="TableStyleMedium2" defaultPivotStyle="PivotStyleLight16"/>
  <colors>
    <mruColors>
      <color rgb="FFFF33CC"/>
      <color rgb="FFFF00FF"/>
      <color rgb="FFD60093"/>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7.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2.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3.xml"/><Relationship Id="rId19" Type="http://schemas.microsoft.com/office/2007/relationships/slicerCache" Target="slicerCaches/slicerCache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6.xml"/><Relationship Id="rId51" Type="http://schemas.openxmlformats.org/officeDocument/2006/relationships/customXml" Target="../customXml/item24.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6.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8.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Project2.xlsx]Sheet1!PivotTable4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Total Orders By</a:t>
            </a:r>
            <a:r>
              <a:rPr lang="en-US" sz="1800" b="1" baseline="0">
                <a:solidFill>
                  <a:schemeClr val="tx1">
                    <a:lumMod val="95000"/>
                    <a:lumOff val="5000"/>
                  </a:schemeClr>
                </a:solidFill>
              </a:rPr>
              <a:t> City</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0000"/>
          </a:solidFill>
          <a:ln>
            <a:noFill/>
          </a:ln>
          <a:effectLst/>
        </c:spPr>
      </c:pivotFmt>
      <c:pivotFmt>
        <c:idx val="3"/>
        <c:spPr>
          <a:solidFill>
            <a:schemeClr val="tx2"/>
          </a:solidFill>
          <a:ln>
            <a:noFill/>
          </a:ln>
          <a:effectLst/>
        </c:spPr>
      </c:pivotFmt>
      <c:pivotFmt>
        <c:idx val="4"/>
        <c:spPr>
          <a:solidFill>
            <a:schemeClr val="tx2"/>
          </a:solidFill>
          <a:ln>
            <a:noFill/>
          </a:ln>
          <a:effectLst/>
        </c:spPr>
      </c:pivotFmt>
      <c:pivotFmt>
        <c:idx val="5"/>
        <c:spPr>
          <a:solidFill>
            <a:schemeClr val="tx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chemeClr val="tx2"/>
          </a:solidFill>
          <a:ln>
            <a:noFill/>
          </a:ln>
          <a:effectLst/>
        </c:spPr>
      </c:pivotFmt>
      <c:pivotFmt>
        <c:idx val="9"/>
        <c:spPr>
          <a:solidFill>
            <a:schemeClr val="tx2"/>
          </a:solidFill>
          <a:ln>
            <a:noFill/>
          </a:ln>
          <a:effectLst/>
        </c:spPr>
      </c:pivotFmt>
      <c:pivotFmt>
        <c:idx val="10"/>
        <c:spPr>
          <a:solidFill>
            <a:schemeClr val="tx2"/>
          </a:solidFill>
          <a:ln>
            <a:noFill/>
          </a:ln>
          <a:effectLst/>
        </c:spPr>
      </c:pivotFmt>
      <c:pivotFmt>
        <c:idx val="11"/>
        <c:spPr>
          <a:solidFill>
            <a:srgbClr val="FFC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pivotFmt>
      <c:pivotFmt>
        <c:idx val="14"/>
        <c:spPr>
          <a:solidFill>
            <a:schemeClr val="tx2"/>
          </a:solidFill>
          <a:ln>
            <a:noFill/>
          </a:ln>
          <a:effectLst/>
        </c:spPr>
      </c:pivotFmt>
      <c:pivotFmt>
        <c:idx val="15"/>
        <c:spPr>
          <a:solidFill>
            <a:schemeClr val="tx2"/>
          </a:solidFill>
          <a:ln>
            <a:noFill/>
          </a:ln>
          <a:effectLst/>
        </c:spPr>
      </c:pivotFmt>
      <c:pivotFmt>
        <c:idx val="16"/>
        <c:spPr>
          <a:solidFill>
            <a:schemeClr val="tx2"/>
          </a:solidFill>
          <a:ln>
            <a:noFill/>
          </a:ln>
          <a:effectLst/>
        </c:spPr>
      </c:pivotFmt>
      <c:pivotFmt>
        <c:idx val="17"/>
        <c:spPr>
          <a:solidFill>
            <a:srgbClr val="FFC000"/>
          </a:solidFill>
          <a:ln>
            <a:noFill/>
          </a:ln>
          <a:effectLst/>
        </c:spPr>
      </c:pivotFmt>
    </c:pivotFmts>
    <c:plotArea>
      <c:layout/>
      <c:barChart>
        <c:barDir val="col"/>
        <c:grouping val="clustered"/>
        <c:varyColors val="0"/>
        <c:ser>
          <c:idx val="0"/>
          <c:order val="0"/>
          <c:tx>
            <c:strRef>
              <c:f>Sheet1!$K$28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8A1-4475-8F74-C85B894C377E}"/>
              </c:ext>
            </c:extLst>
          </c:dPt>
          <c:dPt>
            <c:idx val="1"/>
            <c:invertIfNegative val="0"/>
            <c:bubble3D val="0"/>
            <c:spPr>
              <a:solidFill>
                <a:schemeClr val="tx2"/>
              </a:solidFill>
              <a:ln>
                <a:noFill/>
              </a:ln>
              <a:effectLst/>
            </c:spPr>
            <c:extLst>
              <c:ext xmlns:c16="http://schemas.microsoft.com/office/drawing/2014/chart" uri="{C3380CC4-5D6E-409C-BE32-E72D297353CC}">
                <c16:uniqueId val="{00000003-78A1-4475-8F74-C85B894C377E}"/>
              </c:ext>
            </c:extLst>
          </c:dPt>
          <c:dPt>
            <c:idx val="2"/>
            <c:invertIfNegative val="0"/>
            <c:bubble3D val="0"/>
            <c:spPr>
              <a:solidFill>
                <a:schemeClr val="tx2"/>
              </a:solidFill>
              <a:ln>
                <a:noFill/>
              </a:ln>
              <a:effectLst/>
            </c:spPr>
            <c:extLst>
              <c:ext xmlns:c16="http://schemas.microsoft.com/office/drawing/2014/chart" uri="{C3380CC4-5D6E-409C-BE32-E72D297353CC}">
                <c16:uniqueId val="{00000005-78A1-4475-8F74-C85B894C377E}"/>
              </c:ext>
            </c:extLst>
          </c:dPt>
          <c:dPt>
            <c:idx val="3"/>
            <c:invertIfNegative val="0"/>
            <c:bubble3D val="0"/>
            <c:spPr>
              <a:solidFill>
                <a:schemeClr val="tx2"/>
              </a:solidFill>
              <a:ln>
                <a:noFill/>
              </a:ln>
              <a:effectLst/>
            </c:spPr>
            <c:extLst>
              <c:ext xmlns:c16="http://schemas.microsoft.com/office/drawing/2014/chart" uri="{C3380CC4-5D6E-409C-BE32-E72D297353CC}">
                <c16:uniqueId val="{00000007-78A1-4475-8F74-C85B894C377E}"/>
              </c:ext>
            </c:extLst>
          </c:dPt>
          <c:dPt>
            <c:idx val="4"/>
            <c:invertIfNegative val="0"/>
            <c:bubble3D val="0"/>
            <c:spPr>
              <a:solidFill>
                <a:srgbClr val="FFC000"/>
              </a:solidFill>
              <a:ln>
                <a:noFill/>
              </a:ln>
              <a:effectLst/>
            </c:spPr>
            <c:extLst>
              <c:ext xmlns:c16="http://schemas.microsoft.com/office/drawing/2014/chart" uri="{C3380CC4-5D6E-409C-BE32-E72D297353CC}">
                <c16:uniqueId val="{00000009-78A1-4475-8F74-C85B894C377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Sheet1!$J$29:$J$34</c:f>
              <c:strCache>
                <c:ptCount val="5"/>
                <c:pt idx="0">
                  <c:v>Alexandria</c:v>
                </c:pt>
                <c:pt idx="1">
                  <c:v>Aswan</c:v>
                </c:pt>
                <c:pt idx="2">
                  <c:v>Cairo</c:v>
                </c:pt>
                <c:pt idx="3">
                  <c:v>Giza</c:v>
                </c:pt>
                <c:pt idx="4">
                  <c:v>Mansoura</c:v>
                </c:pt>
              </c:strCache>
            </c:strRef>
          </c:cat>
          <c:val>
            <c:numRef>
              <c:f>Sheet1!$K$29:$K$34</c:f>
              <c:numCache>
                <c:formatCode>0</c:formatCode>
                <c:ptCount val="5"/>
                <c:pt idx="0">
                  <c:v>3654</c:v>
                </c:pt>
                <c:pt idx="1">
                  <c:v>4001</c:v>
                </c:pt>
                <c:pt idx="2">
                  <c:v>3931</c:v>
                </c:pt>
                <c:pt idx="3">
                  <c:v>3954</c:v>
                </c:pt>
                <c:pt idx="4">
                  <c:v>4046</c:v>
                </c:pt>
              </c:numCache>
            </c:numRef>
          </c:val>
          <c:extLst>
            <c:ext xmlns:c16="http://schemas.microsoft.com/office/drawing/2014/chart" uri="{C3380CC4-5D6E-409C-BE32-E72D297353CC}">
              <c16:uniqueId val="{0000000A-78A1-4475-8F74-C85B894C377E}"/>
            </c:ext>
          </c:extLst>
        </c:ser>
        <c:dLbls>
          <c:dLblPos val="outEnd"/>
          <c:showLegendKey val="0"/>
          <c:showVal val="1"/>
          <c:showCatName val="0"/>
          <c:showSerName val="0"/>
          <c:showPercent val="0"/>
          <c:showBubbleSize val="0"/>
        </c:dLbls>
        <c:gapWidth val="219"/>
        <c:overlap val="-27"/>
        <c:axId val="862326863"/>
        <c:axId val="828201471"/>
      </c:barChart>
      <c:catAx>
        <c:axId val="862326863"/>
        <c:scaling>
          <c:orientation val="maxMin"/>
        </c:scaling>
        <c:delete val="1"/>
        <c:axPos val="b"/>
        <c:numFmt formatCode="General" sourceLinked="1"/>
        <c:majorTickMark val="none"/>
        <c:minorTickMark val="none"/>
        <c:tickLblPos val="nextTo"/>
        <c:crossAx val="828201471"/>
        <c:crosses val="autoZero"/>
        <c:auto val="1"/>
        <c:lblAlgn val="ctr"/>
        <c:lblOffset val="100"/>
        <c:noMultiLvlLbl val="0"/>
      </c:catAx>
      <c:valAx>
        <c:axId val="828201471"/>
        <c:scaling>
          <c:orientation val="minMax"/>
        </c:scaling>
        <c:delete val="1"/>
        <c:axPos val="r"/>
        <c:numFmt formatCode="0" sourceLinked="1"/>
        <c:majorTickMark val="none"/>
        <c:minorTickMark val="none"/>
        <c:tickLblPos val="nextTo"/>
        <c:crossAx val="86232686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Project2.xlsx]Sheet1!PivotTable2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 </a:t>
            </a:r>
            <a:r>
              <a:rPr lang="en-US" sz="1800" b="1" baseline="0"/>
              <a:t> Salse Trend : Decline From </a:t>
            </a:r>
            <a:r>
              <a:rPr lang="en-US" sz="1800" b="1" baseline="0">
                <a:solidFill>
                  <a:srgbClr val="FF0000"/>
                </a:solidFill>
              </a:rPr>
              <a:t>October</a:t>
            </a:r>
            <a:r>
              <a:rPr lang="en-US" sz="1800" b="1" baseline="0"/>
              <a:t> To </a:t>
            </a:r>
            <a:r>
              <a:rPr lang="en-US" sz="1800" b="1" baseline="0">
                <a:solidFill>
                  <a:srgbClr val="FF0000"/>
                </a:solidFill>
              </a:rPr>
              <a:t>December</a:t>
            </a:r>
            <a:endParaRPr lang="en-US" sz="18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pivotFmt>
      <c:pivotFmt>
        <c:idx val="2"/>
        <c:spPr>
          <a:solidFill>
            <a:schemeClr val="accent1"/>
          </a:solidFill>
          <a:ln w="28575" cap="rnd">
            <a:solidFill>
              <a:srgbClr val="FF0000"/>
            </a:solidFill>
            <a:round/>
          </a:ln>
          <a:effectLst/>
        </c:spPr>
        <c:marker>
          <c:symbol val="none"/>
        </c:marker>
        <c:dLbl>
          <c:idx val="0"/>
          <c:layout>
            <c:manualLayout>
              <c:x val="-6.5804430913451534E-2"/>
              <c:y val="-0.11763888888888897"/>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8.4348705368713472E-2"/>
              <c:y val="-8.5231481481481505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1.0171607547665721E-2"/>
              <c:y val="-7.1342592592592596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7.3222140695556312E-2"/>
              <c:y val="-8.0601851851851855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7.322214069555634E-2"/>
              <c:y val="-8.9861111111111114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1.0171607547665721E-2"/>
              <c:y val="-7.1342592592592596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8.4348705368713472E-2"/>
              <c:y val="-8.5231481481481505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7.3222140695556312E-2"/>
              <c:y val="-8.0601851851851855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7.322214069555634E-2"/>
              <c:y val="-8.9861111111111114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0000"/>
            </a:solidFill>
            <a:round/>
          </a:ln>
          <a:effectLst/>
        </c:spPr>
        <c:marker>
          <c:symbol val="none"/>
        </c:marker>
      </c:pivotFmt>
      <c:pivotFmt>
        <c:idx val="13"/>
        <c:spPr>
          <a:solidFill>
            <a:schemeClr val="accent1"/>
          </a:solidFill>
          <a:ln w="28575" cap="rnd">
            <a:solidFill>
              <a:srgbClr val="FF0000"/>
            </a:solidFill>
            <a:round/>
          </a:ln>
          <a:effectLst/>
        </c:spPr>
        <c:marker>
          <c:symbol val="none"/>
        </c:marker>
        <c:dLbl>
          <c:idx val="0"/>
          <c:layout>
            <c:manualLayout>
              <c:x val="-6.5804430913451534E-2"/>
              <c:y val="-0.11763888888888897"/>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1.0171607547665721E-2"/>
              <c:y val="-7.1342592592592596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8.4348705368713472E-2"/>
              <c:y val="-8.5231481481481505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7.3222140695556312E-2"/>
              <c:y val="-8.0601851851851855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7.322214069555634E-2"/>
              <c:y val="-8.9861111111111114E-2"/>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rgbClr val="FF0000"/>
            </a:solidFill>
            <a:round/>
          </a:ln>
          <a:effectLst/>
        </c:spPr>
        <c:marker>
          <c:symbol val="none"/>
        </c:marker>
      </c:pivotFmt>
      <c:pivotFmt>
        <c:idx val="20"/>
        <c:spPr>
          <a:ln w="28575" cap="rnd">
            <a:solidFill>
              <a:srgbClr val="FF0000"/>
            </a:solidFill>
            <a:round/>
          </a:ln>
          <a:effectLst/>
        </c:spPr>
        <c:marker>
          <c:symbol val="none"/>
        </c:marker>
        <c:dLbl>
          <c:idx val="0"/>
          <c:layout>
            <c:manualLayout>
              <c:x val="-6.5804430913451534E-2"/>
              <c:y val="-0.11763888888888897"/>
            </c:manualLayout>
          </c:layout>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Sheet1!$H$14</c:f>
              <c:strCache>
                <c:ptCount val="1"/>
                <c:pt idx="0">
                  <c:v>Total</c:v>
                </c:pt>
              </c:strCache>
            </c:strRef>
          </c:tx>
          <c:spPr>
            <a:ln w="28575" cap="rnd">
              <a:solidFill>
                <a:schemeClr val="accent1"/>
              </a:solidFill>
              <a:round/>
            </a:ln>
            <a:effectLst/>
          </c:spPr>
          <c:marker>
            <c:symbol val="none"/>
          </c:marker>
          <c:dPt>
            <c:idx val="10"/>
            <c:marker>
              <c:symbol val="none"/>
            </c:marker>
            <c:bubble3D val="0"/>
            <c:spPr>
              <a:ln w="28575" cap="rnd">
                <a:solidFill>
                  <a:srgbClr val="FF0000"/>
                </a:solidFill>
                <a:round/>
              </a:ln>
              <a:effectLst/>
            </c:spPr>
            <c:extLst>
              <c:ext xmlns:c16="http://schemas.microsoft.com/office/drawing/2014/chart" uri="{C3380CC4-5D6E-409C-BE32-E72D297353CC}">
                <c16:uniqueId val="{00000001-9EDE-444A-83D0-C0250835DF38}"/>
              </c:ext>
            </c:extLst>
          </c:dPt>
          <c:dPt>
            <c:idx val="11"/>
            <c:marker>
              <c:symbol val="none"/>
            </c:marker>
            <c:bubble3D val="0"/>
            <c:spPr>
              <a:ln w="28575" cap="rnd">
                <a:solidFill>
                  <a:srgbClr val="FF0000"/>
                </a:solidFill>
                <a:round/>
              </a:ln>
              <a:effectLst/>
            </c:spPr>
            <c:extLst>
              <c:ext xmlns:c16="http://schemas.microsoft.com/office/drawing/2014/chart" uri="{C3380CC4-5D6E-409C-BE32-E72D297353CC}">
                <c16:uniqueId val="{00000003-9EDE-444A-83D0-C0250835DF38}"/>
              </c:ext>
            </c:extLst>
          </c:dPt>
          <c:dLbls>
            <c:dLbl>
              <c:idx val="3"/>
              <c:layout>
                <c:manualLayout>
                  <c:x val="-1.0171607547665721E-2"/>
                  <c:y val="-7.1342592592592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DE-444A-83D0-C0250835DF38}"/>
                </c:ext>
              </c:extLst>
            </c:dLbl>
            <c:dLbl>
              <c:idx val="4"/>
              <c:layout>
                <c:manualLayout>
                  <c:x val="-8.4348705368713472E-2"/>
                  <c:y val="-8.52314814814815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DE-444A-83D0-C0250835DF38}"/>
                </c:ext>
              </c:extLst>
            </c:dLbl>
            <c:dLbl>
              <c:idx val="7"/>
              <c:layout>
                <c:manualLayout>
                  <c:x val="-7.3222140695556312E-2"/>
                  <c:y val="-8.0601851851851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DE-444A-83D0-C0250835DF38}"/>
                </c:ext>
              </c:extLst>
            </c:dLbl>
            <c:dLbl>
              <c:idx val="9"/>
              <c:layout>
                <c:manualLayout>
                  <c:x val="-7.322214069555634E-2"/>
                  <c:y val="-8.9861111111111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DE-444A-83D0-C0250835DF38}"/>
                </c:ext>
              </c:extLst>
            </c:dLbl>
            <c:dLbl>
              <c:idx val="11"/>
              <c:layout>
                <c:manualLayout>
                  <c:x val="-6.5804430913451534E-2"/>
                  <c:y val="-0.117638888888888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DE-444A-83D0-C0250835DF38}"/>
                </c:ext>
              </c:extLst>
            </c:dLbl>
            <c:numFmt formatCode="&quot;£&quot;#,##0"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Sheet1!$G$15:$G$27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Sheet1!$H$15:$H$27</c:f>
              <c:numCache>
                <c:formatCode>_-[$$-409]* #,##0_ ;_-[$$-409]* \-#,##0\ ;_-[$$-409]* "-"??_ ;_-@_ </c:formatCode>
                <c:ptCount val="12"/>
                <c:pt idx="0">
                  <c:v>8439874.4500000011</c:v>
                </c:pt>
                <c:pt idx="1">
                  <c:v>8309925.610000005</c:v>
                </c:pt>
                <c:pt idx="2">
                  <c:v>8377834.3700000029</c:v>
                </c:pt>
                <c:pt idx="3">
                  <c:v>8625377.1600000039</c:v>
                </c:pt>
                <c:pt idx="4">
                  <c:v>8659916.4400000013</c:v>
                </c:pt>
                <c:pt idx="5">
                  <c:v>8397646.4900000039</c:v>
                </c:pt>
                <c:pt idx="6">
                  <c:v>8476094.9800000098</c:v>
                </c:pt>
                <c:pt idx="7">
                  <c:v>8449704.5300000086</c:v>
                </c:pt>
                <c:pt idx="8">
                  <c:v>8374160.4500000011</c:v>
                </c:pt>
                <c:pt idx="9">
                  <c:v>8389597.570000004</c:v>
                </c:pt>
                <c:pt idx="10">
                  <c:v>8324892.380000012</c:v>
                </c:pt>
                <c:pt idx="11">
                  <c:v>8286293.6099999975</c:v>
                </c:pt>
              </c:numCache>
            </c:numRef>
          </c:val>
          <c:smooth val="1"/>
          <c:extLst>
            <c:ext xmlns:c16="http://schemas.microsoft.com/office/drawing/2014/chart" uri="{C3380CC4-5D6E-409C-BE32-E72D297353CC}">
              <c16:uniqueId val="{00000008-9EDE-444A-83D0-C0250835DF38}"/>
            </c:ext>
          </c:extLst>
        </c:ser>
        <c:dLbls>
          <c:dLblPos val="t"/>
          <c:showLegendKey val="0"/>
          <c:showVal val="1"/>
          <c:showCatName val="0"/>
          <c:showSerName val="0"/>
          <c:showPercent val="0"/>
          <c:showBubbleSize val="0"/>
        </c:dLbls>
        <c:smooth val="0"/>
        <c:axId val="1389546847"/>
        <c:axId val="828234111"/>
      </c:lineChart>
      <c:catAx>
        <c:axId val="1389546847"/>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28234111"/>
        <c:crosses val="autoZero"/>
        <c:auto val="1"/>
        <c:lblAlgn val="ctr"/>
        <c:lblOffset val="100"/>
        <c:noMultiLvlLbl val="0"/>
      </c:catAx>
      <c:valAx>
        <c:axId val="828234111"/>
        <c:scaling>
          <c:orientation val="minMax"/>
        </c:scaling>
        <c:delete val="1"/>
        <c:axPos val="r"/>
        <c:numFmt formatCode="_-[$$-409]* #,##0_ ;_-[$$-409]* \-#,##0\ ;_-[$$-409]* &quot;-&quot;??_ ;_-@_ " sourceLinked="1"/>
        <c:majorTickMark val="out"/>
        <c:minorTickMark val="none"/>
        <c:tickLblPos val="nextTo"/>
        <c:crossAx val="138954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Project2.xlsx]Sheet1!PivotTable3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Order Distribution By Category</a:t>
            </a:r>
          </a:p>
        </c:rich>
      </c:tx>
      <c:overlay val="0"/>
      <c:spPr>
        <a:solidFill>
          <a:schemeClr val="tx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w="19050">
            <a:solidFill>
              <a:schemeClr val="lt1"/>
            </a:solidFill>
          </a:ln>
          <a:effectLst/>
        </c:spPr>
        <c:dLbl>
          <c:idx val="0"/>
          <c:layout>
            <c:manualLayout>
              <c:x val="-8.3333333333333329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w="19050">
            <a:solidFill>
              <a:schemeClr val="lt1"/>
            </a:solidFill>
          </a:ln>
          <a:effectLst/>
        </c:spPr>
        <c:dLbl>
          <c:idx val="0"/>
          <c:layout>
            <c:manualLayout>
              <c:x val="9.722222222222222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19050">
            <a:solidFill>
              <a:schemeClr val="lt1"/>
            </a:solidFill>
          </a:ln>
          <a:effectLst/>
        </c:spPr>
        <c:dLbl>
          <c:idx val="0"/>
          <c:layout>
            <c:manualLayout>
              <c:x val="-7.2222222222222215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19050">
            <a:solidFill>
              <a:schemeClr val="lt1"/>
            </a:solidFill>
          </a:ln>
          <a:effectLst/>
        </c:spPr>
        <c:dLbl>
          <c:idx val="0"/>
          <c:layout>
            <c:manualLayout>
              <c:x val="-9.44444444444444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dLbl>
          <c:idx val="0"/>
          <c:layout>
            <c:manualLayout>
              <c:x val="6.6666666666666569E-2"/>
              <c:y val="-0.152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w="19050">
            <a:solidFill>
              <a:schemeClr val="lt1"/>
            </a:solidFill>
          </a:ln>
          <a:effectLst/>
        </c:spPr>
        <c:dLbl>
          <c:idx val="0"/>
          <c:layout>
            <c:manualLayout>
              <c:x val="6.6666666666666569E-2"/>
              <c:y val="-0.152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w="19050">
            <a:solidFill>
              <a:schemeClr val="lt1"/>
            </a:solidFill>
          </a:ln>
          <a:effectLst/>
        </c:spPr>
        <c:dLbl>
          <c:idx val="0"/>
          <c:layout>
            <c:manualLayout>
              <c:x val="9.722222222222222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w="19050">
            <a:solidFill>
              <a:schemeClr val="lt1"/>
            </a:solidFill>
          </a:ln>
          <a:effectLst/>
        </c:spPr>
        <c:dLbl>
          <c:idx val="0"/>
          <c:layout>
            <c:manualLayout>
              <c:x val="-7.2222222222222215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19050">
            <a:solidFill>
              <a:schemeClr val="lt1"/>
            </a:solidFill>
          </a:ln>
          <a:effectLst/>
        </c:spPr>
        <c:dLbl>
          <c:idx val="0"/>
          <c:layout>
            <c:manualLayout>
              <c:x val="-9.44444444444444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20000"/>
              <a:lumOff val="80000"/>
            </a:schemeClr>
          </a:solidFill>
          <a:ln w="19050">
            <a:solidFill>
              <a:schemeClr val="lt1"/>
            </a:solidFill>
          </a:ln>
          <a:effectLst/>
        </c:spPr>
        <c:dLbl>
          <c:idx val="0"/>
          <c:layout>
            <c:manualLayout>
              <c:x val="-8.3333333333333329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40000"/>
              <a:lumOff val="60000"/>
            </a:schemeClr>
          </a:solidFill>
          <a:ln w="19050">
            <a:solidFill>
              <a:schemeClr val="lt1"/>
            </a:solidFill>
          </a:ln>
          <a:effectLst/>
        </c:spPr>
        <c:dLbl>
          <c:idx val="0"/>
          <c:layout>
            <c:manualLayout>
              <c:x val="6.6666666666666569E-2"/>
              <c:y val="-0.1527777777777778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50000"/>
            </a:schemeClr>
          </a:solidFill>
          <a:ln w="19050">
            <a:solidFill>
              <a:schemeClr val="lt1"/>
            </a:solidFill>
          </a:ln>
          <a:effectLst/>
        </c:spPr>
        <c:dLbl>
          <c:idx val="0"/>
          <c:layout>
            <c:manualLayout>
              <c:x val="9.722222222222222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75000"/>
            </a:schemeClr>
          </a:solidFill>
          <a:ln w="19050">
            <a:solidFill>
              <a:schemeClr val="lt1"/>
            </a:solidFill>
          </a:ln>
          <a:effectLst/>
        </c:spPr>
        <c:dLbl>
          <c:idx val="0"/>
          <c:layout>
            <c:manualLayout>
              <c:x val="-7.2222222222222215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w="19050">
            <a:solidFill>
              <a:schemeClr val="lt1"/>
            </a:solidFill>
          </a:ln>
          <a:effectLst/>
        </c:spPr>
        <c:dLbl>
          <c:idx val="0"/>
          <c:layout>
            <c:manualLayout>
              <c:x val="-9.44444444444444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w="19050">
            <a:solidFill>
              <a:schemeClr val="lt1"/>
            </a:solidFill>
          </a:ln>
          <a:effectLst/>
        </c:spPr>
        <c:dLbl>
          <c:idx val="0"/>
          <c:layout>
            <c:manualLayout>
              <c:x val="-8.3333333333333329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Sheet1!$L$15</c:f>
              <c:strCache>
                <c:ptCount val="1"/>
                <c:pt idx="0">
                  <c:v>Total</c:v>
                </c:pt>
              </c:strCache>
            </c:strRef>
          </c:tx>
          <c:explosion val="8"/>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CEFD-448D-B121-B7DEC1C5A349}"/>
              </c:ext>
            </c:extLst>
          </c:dPt>
          <c:dPt>
            <c:idx val="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3-CEFD-448D-B121-B7DEC1C5A349}"/>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CEFD-448D-B121-B7DEC1C5A349}"/>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CEFD-448D-B121-B7DEC1C5A349}"/>
              </c:ext>
            </c:extLst>
          </c:dPt>
          <c:dPt>
            <c:idx val="4"/>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9-CEFD-448D-B121-B7DEC1C5A349}"/>
              </c:ext>
            </c:extLst>
          </c:dPt>
          <c:dLbls>
            <c:dLbl>
              <c:idx val="0"/>
              <c:layout>
                <c:manualLayout>
                  <c:x val="6.6666666666666569E-2"/>
                  <c:y val="-0.152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FD-448D-B121-B7DEC1C5A349}"/>
                </c:ext>
              </c:extLst>
            </c:dLbl>
            <c:dLbl>
              <c:idx val="1"/>
              <c:layout>
                <c:manualLayout>
                  <c:x val="9.7222222222222224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FD-448D-B121-B7DEC1C5A349}"/>
                </c:ext>
              </c:extLst>
            </c:dLbl>
            <c:dLbl>
              <c:idx val="2"/>
              <c:layout>
                <c:manualLayout>
                  <c:x val="-7.2222222222222215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FD-448D-B121-B7DEC1C5A349}"/>
                </c:ext>
              </c:extLst>
            </c:dLbl>
            <c:dLbl>
              <c:idx val="3"/>
              <c:layout>
                <c:manualLayout>
                  <c:x val="-9.44444444444444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FD-448D-B121-B7DEC1C5A349}"/>
                </c:ext>
              </c:extLst>
            </c:dLbl>
            <c:dLbl>
              <c:idx val="4"/>
              <c:layout>
                <c:manualLayout>
                  <c:x val="-8.3333333333333329E-2"/>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EFD-448D-B121-B7DEC1C5A34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Sheet1!$K$16:$K$21</c:f>
              <c:strCache>
                <c:ptCount val="5"/>
                <c:pt idx="0">
                  <c:v>Books</c:v>
                </c:pt>
                <c:pt idx="1">
                  <c:v>Clothing</c:v>
                </c:pt>
                <c:pt idx="2">
                  <c:v>Electronics</c:v>
                </c:pt>
                <c:pt idx="3">
                  <c:v>Furniture</c:v>
                </c:pt>
                <c:pt idx="4">
                  <c:v>Toys</c:v>
                </c:pt>
              </c:strCache>
            </c:strRef>
          </c:cat>
          <c:val>
            <c:numRef>
              <c:f>Sheet1!$L$16:$L$21</c:f>
              <c:numCache>
                <c:formatCode>General</c:formatCode>
                <c:ptCount val="5"/>
                <c:pt idx="0">
                  <c:v>3864</c:v>
                </c:pt>
                <c:pt idx="1">
                  <c:v>4007</c:v>
                </c:pt>
                <c:pt idx="2">
                  <c:v>3956</c:v>
                </c:pt>
                <c:pt idx="3">
                  <c:v>3930</c:v>
                </c:pt>
                <c:pt idx="4">
                  <c:v>3829</c:v>
                </c:pt>
              </c:numCache>
            </c:numRef>
          </c:val>
          <c:extLst>
            <c:ext xmlns:c16="http://schemas.microsoft.com/office/drawing/2014/chart" uri="{C3380CC4-5D6E-409C-BE32-E72D297353CC}">
              <c16:uniqueId val="{0000000A-CEFD-448D-B121-B7DEC1C5A349}"/>
            </c:ext>
          </c:extLst>
        </c:ser>
        <c:dLbls>
          <c:showLegendKey val="0"/>
          <c:showVal val="1"/>
          <c:showCatName val="0"/>
          <c:showSerName val="0"/>
          <c:showPercent val="0"/>
          <c:showBubbleSize val="0"/>
          <c:showLeaderLines val="1"/>
        </c:dLbls>
        <c:firstSliceAng val="360"/>
        <c:holeSize val="64"/>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Project2.xlsx]Sheet1!PivotTable1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solidFill>
                  <a:schemeClr val="tx1"/>
                </a:solidFill>
              </a:rPr>
              <a:t>Sales &amp; Orders By</a:t>
            </a:r>
            <a:r>
              <a:rPr lang="en-GB" sz="1800" b="1" baseline="0">
                <a:solidFill>
                  <a:schemeClr val="tx1"/>
                </a:solidFill>
              </a:rPr>
              <a:t> Products</a:t>
            </a:r>
            <a:endParaRPr lang="en-GB"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rgbClr val="FF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 Sales</c:v>
                </c:pt>
              </c:strCache>
            </c:strRef>
          </c:tx>
          <c:spPr>
            <a:solidFill>
              <a:schemeClr val="accent3">
                <a:lumMod val="75000"/>
              </a:schemeClr>
            </a:solidFill>
            <a:ln>
              <a:noFill/>
            </a:ln>
            <a:effectLst/>
          </c:spPr>
          <c:invertIfNegative val="0"/>
          <c:dPt>
            <c:idx val="8"/>
            <c:invertIfNegative val="0"/>
            <c:bubble3D val="0"/>
            <c:spPr>
              <a:solidFill>
                <a:srgbClr val="FF0000"/>
              </a:solidFill>
              <a:ln>
                <a:noFill/>
              </a:ln>
              <a:effectLst/>
            </c:spPr>
            <c:extLst>
              <c:ext xmlns:c16="http://schemas.microsoft.com/office/drawing/2014/chart" uri="{C3380CC4-5D6E-409C-BE32-E72D297353CC}">
                <c16:uniqueId val="{00000004-F200-42EB-8142-552CF303855F}"/>
              </c:ext>
            </c:extLst>
          </c:dPt>
          <c:dPt>
            <c:idx val="20"/>
            <c:invertIfNegative val="0"/>
            <c:bubble3D val="0"/>
            <c:spPr>
              <a:solidFill>
                <a:srgbClr val="FF0000"/>
              </a:solidFill>
              <a:ln>
                <a:noFill/>
              </a:ln>
              <a:effectLst/>
            </c:spPr>
            <c:extLst>
              <c:ext xmlns:c16="http://schemas.microsoft.com/office/drawing/2014/chart" uri="{C3380CC4-5D6E-409C-BE32-E72D297353CC}">
                <c16:uniqueId val="{00000003-F200-42EB-8142-552CF303855F}"/>
              </c:ext>
            </c:extLst>
          </c:dPt>
          <c:cat>
            <c:strRef>
              <c:f>Sheet1!$B$4:$B$29</c:f>
              <c:strCache>
                <c:ptCount val="25"/>
                <c:pt idx="0">
                  <c:v>Ball</c:v>
                </c:pt>
                <c:pt idx="1">
                  <c:v>Bed</c:v>
                </c:pt>
                <c:pt idx="2">
                  <c:v>Camera</c:v>
                </c:pt>
                <c:pt idx="3">
                  <c:v>Car Toy</c:v>
                </c:pt>
                <c:pt idx="4">
                  <c:v>Chair</c:v>
                </c:pt>
                <c:pt idx="5">
                  <c:v>Comics</c:v>
                </c:pt>
                <c:pt idx="6">
                  <c:v>Doll</c:v>
                </c:pt>
                <c:pt idx="7">
                  <c:v>Dress</c:v>
                </c:pt>
                <c:pt idx="8">
                  <c:v>Headphones</c:v>
                </c:pt>
                <c:pt idx="9">
                  <c:v>Jacket</c:v>
                </c:pt>
                <c:pt idx="10">
                  <c:v>Laptop</c:v>
                </c:pt>
                <c:pt idx="11">
                  <c:v>Lego</c:v>
                </c:pt>
                <c:pt idx="12">
                  <c:v>Magazine</c:v>
                </c:pt>
                <c:pt idx="13">
                  <c:v>Notebook</c:v>
                </c:pt>
                <c:pt idx="14">
                  <c:v>Novel</c:v>
                </c:pt>
                <c:pt idx="15">
                  <c:v>Pants</c:v>
                </c:pt>
                <c:pt idx="16">
                  <c:v>Phone</c:v>
                </c:pt>
                <c:pt idx="17">
                  <c:v>Puzzle</c:v>
                </c:pt>
                <c:pt idx="18">
                  <c:v>Shirt</c:v>
                </c:pt>
                <c:pt idx="19">
                  <c:v>Shoes</c:v>
                </c:pt>
                <c:pt idx="20">
                  <c:v>Sofa</c:v>
                </c:pt>
                <c:pt idx="21">
                  <c:v>Table</c:v>
                </c:pt>
                <c:pt idx="22">
                  <c:v>Tablet</c:v>
                </c:pt>
                <c:pt idx="23">
                  <c:v>Textbook</c:v>
                </c:pt>
                <c:pt idx="24">
                  <c:v>Wardrobe</c:v>
                </c:pt>
              </c:strCache>
            </c:strRef>
          </c:cat>
          <c:val>
            <c:numRef>
              <c:f>Sheet1!$C$4:$C$29</c:f>
              <c:numCache>
                <c:formatCode>_-[$$-409]* #,##0_ ;_-[$$-409]* \-#,##0\ ;_-[$$-409]* "-"??_ ;_-@_ </c:formatCode>
                <c:ptCount val="25"/>
                <c:pt idx="0">
                  <c:v>3002396.8199999947</c:v>
                </c:pt>
                <c:pt idx="1">
                  <c:v>3114383.8500000089</c:v>
                </c:pt>
                <c:pt idx="2">
                  <c:v>3927488</c:v>
                </c:pt>
                <c:pt idx="3">
                  <c:v>6128575.2000000207</c:v>
                </c:pt>
                <c:pt idx="4">
                  <c:v>1926887.4600000002</c:v>
                </c:pt>
                <c:pt idx="5">
                  <c:v>5631703.2899999861</c:v>
                </c:pt>
                <c:pt idx="6">
                  <c:v>8153848.8300000066</c:v>
                </c:pt>
                <c:pt idx="7">
                  <c:v>3355900.1199999987</c:v>
                </c:pt>
                <c:pt idx="8">
                  <c:v>888600</c:v>
                </c:pt>
                <c:pt idx="9">
                  <c:v>5643702.2299999995</c:v>
                </c:pt>
                <c:pt idx="10">
                  <c:v>5566320</c:v>
                </c:pt>
                <c:pt idx="11">
                  <c:v>2064848</c:v>
                </c:pt>
                <c:pt idx="12">
                  <c:v>5199586.5600000098</c:v>
                </c:pt>
                <c:pt idx="13">
                  <c:v>1975390.3200000005</c:v>
                </c:pt>
                <c:pt idx="14">
                  <c:v>2118009.5999999982</c:v>
                </c:pt>
                <c:pt idx="15">
                  <c:v>6569490.7999999886</c:v>
                </c:pt>
                <c:pt idx="16">
                  <c:v>2283091.1400000011</c:v>
                </c:pt>
                <c:pt idx="17">
                  <c:v>6027520</c:v>
                </c:pt>
                <c:pt idx="18">
                  <c:v>7208850.7399999881</c:v>
                </c:pt>
                <c:pt idx="19">
                  <c:v>6323812</c:v>
                </c:pt>
                <c:pt idx="20">
                  <c:v>263715.36000000028</c:v>
                </c:pt>
                <c:pt idx="21">
                  <c:v>2216953.2000000002</c:v>
                </c:pt>
                <c:pt idx="22">
                  <c:v>6346541.0399999991</c:v>
                </c:pt>
                <c:pt idx="23">
                  <c:v>2260674.8400000045</c:v>
                </c:pt>
                <c:pt idx="24">
                  <c:v>2913028.6399999829</c:v>
                </c:pt>
              </c:numCache>
            </c:numRef>
          </c:val>
          <c:extLst>
            <c:ext xmlns:c16="http://schemas.microsoft.com/office/drawing/2014/chart" uri="{C3380CC4-5D6E-409C-BE32-E72D297353CC}">
              <c16:uniqueId val="{00000000-F200-42EB-8142-552CF303855F}"/>
            </c:ext>
          </c:extLst>
        </c:ser>
        <c:ser>
          <c:idx val="1"/>
          <c:order val="1"/>
          <c:tx>
            <c:strRef>
              <c:f>Sheet1!$D$3</c:f>
              <c:strCache>
                <c:ptCount val="1"/>
                <c:pt idx="0">
                  <c:v>Count of OrderID</c:v>
                </c:pt>
              </c:strCache>
            </c:strRef>
          </c:tx>
          <c:spPr>
            <a:solidFill>
              <a:schemeClr val="accent2"/>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Sheet1!$B$4:$B$29</c:f>
              <c:strCache>
                <c:ptCount val="25"/>
                <c:pt idx="0">
                  <c:v>Ball</c:v>
                </c:pt>
                <c:pt idx="1">
                  <c:v>Bed</c:v>
                </c:pt>
                <c:pt idx="2">
                  <c:v>Camera</c:v>
                </c:pt>
                <c:pt idx="3">
                  <c:v>Car Toy</c:v>
                </c:pt>
                <c:pt idx="4">
                  <c:v>Chair</c:v>
                </c:pt>
                <c:pt idx="5">
                  <c:v>Comics</c:v>
                </c:pt>
                <c:pt idx="6">
                  <c:v>Doll</c:v>
                </c:pt>
                <c:pt idx="7">
                  <c:v>Dress</c:v>
                </c:pt>
                <c:pt idx="8">
                  <c:v>Headphones</c:v>
                </c:pt>
                <c:pt idx="9">
                  <c:v>Jacket</c:v>
                </c:pt>
                <c:pt idx="10">
                  <c:v>Laptop</c:v>
                </c:pt>
                <c:pt idx="11">
                  <c:v>Lego</c:v>
                </c:pt>
                <c:pt idx="12">
                  <c:v>Magazine</c:v>
                </c:pt>
                <c:pt idx="13">
                  <c:v>Notebook</c:v>
                </c:pt>
                <c:pt idx="14">
                  <c:v>Novel</c:v>
                </c:pt>
                <c:pt idx="15">
                  <c:v>Pants</c:v>
                </c:pt>
                <c:pt idx="16">
                  <c:v>Phone</c:v>
                </c:pt>
                <c:pt idx="17">
                  <c:v>Puzzle</c:v>
                </c:pt>
                <c:pt idx="18">
                  <c:v>Shirt</c:v>
                </c:pt>
                <c:pt idx="19">
                  <c:v>Shoes</c:v>
                </c:pt>
                <c:pt idx="20">
                  <c:v>Sofa</c:v>
                </c:pt>
                <c:pt idx="21">
                  <c:v>Table</c:v>
                </c:pt>
                <c:pt idx="22">
                  <c:v>Tablet</c:v>
                </c:pt>
                <c:pt idx="23">
                  <c:v>Textbook</c:v>
                </c:pt>
                <c:pt idx="24">
                  <c:v>Wardrobe</c:v>
                </c:pt>
              </c:strCache>
            </c:strRef>
          </c:cat>
          <c:val>
            <c:numRef>
              <c:f>Sheet1!$D$4:$D$29</c:f>
              <c:numCache>
                <c:formatCode>General</c:formatCode>
                <c:ptCount val="25"/>
                <c:pt idx="0">
                  <c:v>802</c:v>
                </c:pt>
                <c:pt idx="1">
                  <c:v>792</c:v>
                </c:pt>
                <c:pt idx="2">
                  <c:v>819</c:v>
                </c:pt>
                <c:pt idx="3">
                  <c:v>765</c:v>
                </c:pt>
                <c:pt idx="4">
                  <c:v>801</c:v>
                </c:pt>
                <c:pt idx="5">
                  <c:v>754</c:v>
                </c:pt>
                <c:pt idx="6">
                  <c:v>740</c:v>
                </c:pt>
                <c:pt idx="7">
                  <c:v>799</c:v>
                </c:pt>
                <c:pt idx="8">
                  <c:v>818</c:v>
                </c:pt>
                <c:pt idx="9">
                  <c:v>832</c:v>
                </c:pt>
                <c:pt idx="10">
                  <c:v>781</c:v>
                </c:pt>
                <c:pt idx="11">
                  <c:v>740</c:v>
                </c:pt>
                <c:pt idx="12">
                  <c:v>742</c:v>
                </c:pt>
                <c:pt idx="13">
                  <c:v>786</c:v>
                </c:pt>
                <c:pt idx="14">
                  <c:v>788</c:v>
                </c:pt>
                <c:pt idx="15">
                  <c:v>811</c:v>
                </c:pt>
                <c:pt idx="16">
                  <c:v>715</c:v>
                </c:pt>
                <c:pt idx="17">
                  <c:v>782</c:v>
                </c:pt>
                <c:pt idx="18">
                  <c:v>771</c:v>
                </c:pt>
                <c:pt idx="19">
                  <c:v>794</c:v>
                </c:pt>
                <c:pt idx="20">
                  <c:v>771</c:v>
                </c:pt>
                <c:pt idx="21">
                  <c:v>837</c:v>
                </c:pt>
                <c:pt idx="22">
                  <c:v>823</c:v>
                </c:pt>
                <c:pt idx="23">
                  <c:v>794</c:v>
                </c:pt>
                <c:pt idx="24">
                  <c:v>729</c:v>
                </c:pt>
              </c:numCache>
            </c:numRef>
          </c:val>
          <c:extLst>
            <c:ext xmlns:c16="http://schemas.microsoft.com/office/drawing/2014/chart" uri="{C3380CC4-5D6E-409C-BE32-E72D297353CC}">
              <c16:uniqueId val="{00000001-F200-42EB-8142-552CF303855F}"/>
            </c:ext>
          </c:extLst>
        </c:ser>
        <c:ser>
          <c:idx val="2"/>
          <c:order val="2"/>
          <c:tx>
            <c:strRef>
              <c:f>Sheet1!$E$3</c:f>
              <c:strCache>
                <c:ptCount val="1"/>
                <c:pt idx="0">
                  <c:v>Count of Quantity</c:v>
                </c:pt>
              </c:strCache>
            </c:strRef>
          </c:tx>
          <c:spPr>
            <a:solidFill>
              <a:schemeClr val="accent3"/>
            </a:solidFill>
            <a:ln>
              <a:noFill/>
            </a:ln>
            <a:effectLst/>
          </c:spPr>
          <c:invertIfNegative val="0"/>
          <c:cat>
            <c:strRef>
              <c:f>Sheet1!$B$4:$B$29</c:f>
              <c:strCache>
                <c:ptCount val="25"/>
                <c:pt idx="0">
                  <c:v>Ball</c:v>
                </c:pt>
                <c:pt idx="1">
                  <c:v>Bed</c:v>
                </c:pt>
                <c:pt idx="2">
                  <c:v>Camera</c:v>
                </c:pt>
                <c:pt idx="3">
                  <c:v>Car Toy</c:v>
                </c:pt>
                <c:pt idx="4">
                  <c:v>Chair</c:v>
                </c:pt>
                <c:pt idx="5">
                  <c:v>Comics</c:v>
                </c:pt>
                <c:pt idx="6">
                  <c:v>Doll</c:v>
                </c:pt>
                <c:pt idx="7">
                  <c:v>Dress</c:v>
                </c:pt>
                <c:pt idx="8">
                  <c:v>Headphones</c:v>
                </c:pt>
                <c:pt idx="9">
                  <c:v>Jacket</c:v>
                </c:pt>
                <c:pt idx="10">
                  <c:v>Laptop</c:v>
                </c:pt>
                <c:pt idx="11">
                  <c:v>Lego</c:v>
                </c:pt>
                <c:pt idx="12">
                  <c:v>Magazine</c:v>
                </c:pt>
                <c:pt idx="13">
                  <c:v>Notebook</c:v>
                </c:pt>
                <c:pt idx="14">
                  <c:v>Novel</c:v>
                </c:pt>
                <c:pt idx="15">
                  <c:v>Pants</c:v>
                </c:pt>
                <c:pt idx="16">
                  <c:v>Phone</c:v>
                </c:pt>
                <c:pt idx="17">
                  <c:v>Puzzle</c:v>
                </c:pt>
                <c:pt idx="18">
                  <c:v>Shirt</c:v>
                </c:pt>
                <c:pt idx="19">
                  <c:v>Shoes</c:v>
                </c:pt>
                <c:pt idx="20">
                  <c:v>Sofa</c:v>
                </c:pt>
                <c:pt idx="21">
                  <c:v>Table</c:v>
                </c:pt>
                <c:pt idx="22">
                  <c:v>Tablet</c:v>
                </c:pt>
                <c:pt idx="23">
                  <c:v>Textbook</c:v>
                </c:pt>
                <c:pt idx="24">
                  <c:v>Wardrobe</c:v>
                </c:pt>
              </c:strCache>
            </c:strRef>
          </c:cat>
          <c:val>
            <c:numRef>
              <c:f>Sheet1!$E$4:$E$29</c:f>
              <c:numCache>
                <c:formatCode>General</c:formatCode>
                <c:ptCount val="25"/>
                <c:pt idx="0">
                  <c:v>802</c:v>
                </c:pt>
                <c:pt idx="1">
                  <c:v>792</c:v>
                </c:pt>
                <c:pt idx="2">
                  <c:v>819</c:v>
                </c:pt>
                <c:pt idx="3">
                  <c:v>765</c:v>
                </c:pt>
                <c:pt idx="4">
                  <c:v>801</c:v>
                </c:pt>
                <c:pt idx="5">
                  <c:v>754</c:v>
                </c:pt>
                <c:pt idx="6">
                  <c:v>740</c:v>
                </c:pt>
                <c:pt idx="7">
                  <c:v>799</c:v>
                </c:pt>
                <c:pt idx="8">
                  <c:v>818</c:v>
                </c:pt>
                <c:pt idx="9">
                  <c:v>832</c:v>
                </c:pt>
                <c:pt idx="10">
                  <c:v>781</c:v>
                </c:pt>
                <c:pt idx="11">
                  <c:v>740</c:v>
                </c:pt>
                <c:pt idx="12">
                  <c:v>742</c:v>
                </c:pt>
                <c:pt idx="13">
                  <c:v>786</c:v>
                </c:pt>
                <c:pt idx="14">
                  <c:v>788</c:v>
                </c:pt>
                <c:pt idx="15">
                  <c:v>811</c:v>
                </c:pt>
                <c:pt idx="16">
                  <c:v>715</c:v>
                </c:pt>
                <c:pt idx="17">
                  <c:v>782</c:v>
                </c:pt>
                <c:pt idx="18">
                  <c:v>771</c:v>
                </c:pt>
                <c:pt idx="19">
                  <c:v>794</c:v>
                </c:pt>
                <c:pt idx="20">
                  <c:v>771</c:v>
                </c:pt>
                <c:pt idx="21">
                  <c:v>837</c:v>
                </c:pt>
                <c:pt idx="22">
                  <c:v>823</c:v>
                </c:pt>
                <c:pt idx="23">
                  <c:v>794</c:v>
                </c:pt>
                <c:pt idx="24">
                  <c:v>729</c:v>
                </c:pt>
              </c:numCache>
            </c:numRef>
          </c:val>
          <c:extLst>
            <c:ext xmlns:c16="http://schemas.microsoft.com/office/drawing/2014/chart" uri="{C3380CC4-5D6E-409C-BE32-E72D297353CC}">
              <c16:uniqueId val="{00000005-F200-42EB-8142-552CF303855F}"/>
            </c:ext>
          </c:extLst>
        </c:ser>
        <c:dLbls>
          <c:showLegendKey val="0"/>
          <c:showVal val="0"/>
          <c:showCatName val="0"/>
          <c:showSerName val="0"/>
          <c:showPercent val="0"/>
          <c:showBubbleSize val="0"/>
        </c:dLbls>
        <c:gapWidth val="35"/>
        <c:overlap val="-27"/>
        <c:axId val="862327791"/>
        <c:axId val="828203391"/>
      </c:barChart>
      <c:catAx>
        <c:axId val="86232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ar-EG"/>
          </a:p>
        </c:txPr>
        <c:crossAx val="828203391"/>
        <c:crosses val="autoZero"/>
        <c:auto val="1"/>
        <c:lblAlgn val="ctr"/>
        <c:lblOffset val="100"/>
        <c:noMultiLvlLbl val="0"/>
      </c:catAx>
      <c:valAx>
        <c:axId val="828203391"/>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GB" sz="1400" b="1"/>
                  <a:t>Sales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crossAx val="862327791"/>
        <c:crosses val="autoZero"/>
        <c:crossBetween val="between"/>
      </c:valAx>
      <c:spPr>
        <a:noFill/>
        <a:ln w="25400">
          <a:noFill/>
        </a:ln>
        <a:effectLst/>
      </c:spPr>
    </c:plotArea>
    <c:legend>
      <c:legendPos val="t"/>
      <c:overlay val="0"/>
      <c:spPr>
        <a:noFill/>
        <a:ln>
          <a:solidFill>
            <a:schemeClr val="tx1">
              <a:lumMod val="95000"/>
              <a:lumOff val="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Project2.xlsx]Sheet1!PivotTable13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 By</a:t>
            </a:r>
            <a:r>
              <a:rPr lang="en-US" sz="1800" b="1" baseline="0">
                <a:solidFill>
                  <a:schemeClr val="tx1"/>
                </a:solidFill>
              </a:rPr>
              <a:t> Month</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s>
    <c:plotArea>
      <c:layout/>
      <c:barChart>
        <c:barDir val="bar"/>
        <c:grouping val="clustered"/>
        <c:varyColors val="0"/>
        <c:ser>
          <c:idx val="0"/>
          <c:order val="0"/>
          <c:tx>
            <c:strRef>
              <c:f>Sheet1!$O$28</c:f>
              <c:strCache>
                <c:ptCount val="1"/>
                <c:pt idx="0">
                  <c:v>Total</c:v>
                </c:pt>
              </c:strCache>
            </c:strRef>
          </c:tx>
          <c:spPr>
            <a:solidFill>
              <a:schemeClr val="accent1"/>
            </a:solidFill>
            <a:ln>
              <a:noFill/>
            </a:ln>
            <a:effectLst/>
          </c:spPr>
          <c:invertIfNegative val="0"/>
          <c:dPt>
            <c:idx val="11"/>
            <c:invertIfNegative val="0"/>
            <c:bubble3D val="0"/>
            <c:spPr>
              <a:solidFill>
                <a:srgbClr val="FFFF00"/>
              </a:solidFill>
              <a:ln>
                <a:noFill/>
              </a:ln>
              <a:effectLst/>
            </c:spPr>
            <c:extLst>
              <c:ext xmlns:c16="http://schemas.microsoft.com/office/drawing/2014/chart" uri="{C3380CC4-5D6E-409C-BE32-E72D297353CC}">
                <c16:uniqueId val="{00000001-0820-4BBC-8302-B8C116BE3EFF}"/>
              </c:ext>
            </c:extLst>
          </c:dPt>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Sheet1!$N$29:$N$41</c:f>
              <c:strCache>
                <c:ptCount val="12"/>
                <c:pt idx="0">
                  <c:v>December</c:v>
                </c:pt>
                <c:pt idx="1">
                  <c:v>February</c:v>
                </c:pt>
                <c:pt idx="2">
                  <c:v>November</c:v>
                </c:pt>
                <c:pt idx="3">
                  <c:v>September</c:v>
                </c:pt>
                <c:pt idx="4">
                  <c:v>March</c:v>
                </c:pt>
                <c:pt idx="5">
                  <c:v>October</c:v>
                </c:pt>
                <c:pt idx="6">
                  <c:v>June</c:v>
                </c:pt>
                <c:pt idx="7">
                  <c:v>January</c:v>
                </c:pt>
                <c:pt idx="8">
                  <c:v>August</c:v>
                </c:pt>
                <c:pt idx="9">
                  <c:v>July</c:v>
                </c:pt>
                <c:pt idx="10">
                  <c:v>April</c:v>
                </c:pt>
                <c:pt idx="11">
                  <c:v>May</c:v>
                </c:pt>
              </c:strCache>
            </c:strRef>
          </c:cat>
          <c:val>
            <c:numRef>
              <c:f>Sheet1!$O$29:$O$41</c:f>
              <c:numCache>
                <c:formatCode>_-[$$-409]* #,##0_ ;_-[$$-409]* \-#,##0\ ;_-[$$-409]* "-"??_ ;_-@_ </c:formatCode>
                <c:ptCount val="12"/>
                <c:pt idx="0">
                  <c:v>8286293.6099999975</c:v>
                </c:pt>
                <c:pt idx="1">
                  <c:v>8309925.610000005</c:v>
                </c:pt>
                <c:pt idx="2">
                  <c:v>8324892.380000012</c:v>
                </c:pt>
                <c:pt idx="3">
                  <c:v>8374160.4500000011</c:v>
                </c:pt>
                <c:pt idx="4">
                  <c:v>8377834.3700000029</c:v>
                </c:pt>
                <c:pt idx="5">
                  <c:v>8389597.570000004</c:v>
                </c:pt>
                <c:pt idx="6">
                  <c:v>8397646.4900000039</c:v>
                </c:pt>
                <c:pt idx="7">
                  <c:v>8439874.4500000011</c:v>
                </c:pt>
                <c:pt idx="8">
                  <c:v>8449704.5300000086</c:v>
                </c:pt>
                <c:pt idx="9">
                  <c:v>8476094.9800000098</c:v>
                </c:pt>
                <c:pt idx="10">
                  <c:v>8625377.1600000039</c:v>
                </c:pt>
                <c:pt idx="11">
                  <c:v>8659916.4400000013</c:v>
                </c:pt>
              </c:numCache>
            </c:numRef>
          </c:val>
          <c:extLst>
            <c:ext xmlns:c16="http://schemas.microsoft.com/office/drawing/2014/chart" uri="{C3380CC4-5D6E-409C-BE32-E72D297353CC}">
              <c16:uniqueId val="{00000000-0820-4BBC-8302-B8C116BE3EFF}"/>
            </c:ext>
          </c:extLst>
        </c:ser>
        <c:dLbls>
          <c:dLblPos val="outEnd"/>
          <c:showLegendKey val="0"/>
          <c:showVal val="1"/>
          <c:showCatName val="0"/>
          <c:showSerName val="0"/>
          <c:showPercent val="0"/>
          <c:showBubbleSize val="0"/>
        </c:dLbls>
        <c:gapWidth val="30"/>
        <c:axId val="1496089247"/>
        <c:axId val="595086335"/>
      </c:barChart>
      <c:catAx>
        <c:axId val="1496089247"/>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95086335"/>
        <c:crosses val="autoZero"/>
        <c:auto val="1"/>
        <c:lblAlgn val="ctr"/>
        <c:lblOffset val="100"/>
        <c:noMultiLvlLbl val="0"/>
      </c:catAx>
      <c:valAx>
        <c:axId val="595086335"/>
        <c:scaling>
          <c:orientation val="maxMin"/>
        </c:scaling>
        <c:delete val="1"/>
        <c:axPos val="b"/>
        <c:numFmt formatCode="_-[$$-409]* #,##0_ ;_-[$$-409]* \-#,##0\ ;_-[$$-409]* &quot;-&quot;??_ ;_-@_ " sourceLinked="1"/>
        <c:majorTickMark val="none"/>
        <c:minorTickMark val="none"/>
        <c:tickLblPos val="nextTo"/>
        <c:crossAx val="149608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Project2.xlsx]Sheet1!PivotTable14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Count Of</a:t>
            </a:r>
            <a:r>
              <a:rPr lang="en-US" sz="1800" b="1" baseline="0">
                <a:solidFill>
                  <a:schemeClr val="tx1"/>
                </a:solidFill>
              </a:rPr>
              <a:t> ProductsBy City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1">
              <a:lumMod val="40000"/>
              <a:lumOff val="60000"/>
            </a:schemeClr>
          </a:solidFill>
          <a:ln w="19050">
            <a:solidFill>
              <a:schemeClr val="lt1"/>
            </a:solidFill>
          </a:ln>
          <a:effectLst/>
        </c:spPr>
      </c:pivotFmt>
      <c:pivotFmt>
        <c:idx val="5"/>
        <c:spPr>
          <a:solidFill>
            <a:schemeClr val="accent5">
              <a:lumMod val="40000"/>
              <a:lumOff val="6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5">
              <a:lumMod val="75000"/>
            </a:schemeClr>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1">
              <a:lumMod val="40000"/>
              <a:lumOff val="60000"/>
            </a:schemeClr>
          </a:solidFill>
          <a:ln w="19050">
            <a:solidFill>
              <a:schemeClr val="lt1"/>
            </a:solidFill>
          </a:ln>
          <a:effectLst/>
        </c:spPr>
      </c:pivotFmt>
      <c:pivotFmt>
        <c:idx val="11"/>
        <c:spPr>
          <a:solidFill>
            <a:schemeClr val="accent5">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5">
              <a:lumMod val="75000"/>
            </a:schemeClr>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1">
              <a:lumMod val="40000"/>
              <a:lumOff val="6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s>
    <c:plotArea>
      <c:layout/>
      <c:pieChart>
        <c:varyColors val="1"/>
        <c:ser>
          <c:idx val="0"/>
          <c:order val="0"/>
          <c:tx>
            <c:strRef>
              <c:f>Sheet1!$F$98</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F3-49B5-9182-BB83E38E56C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7F3-49B5-9182-BB83E38E56C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7F3-49B5-9182-BB83E38E56C7}"/>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C7F3-49B5-9182-BB83E38E56C7}"/>
              </c:ext>
            </c:extLst>
          </c:dPt>
          <c:dPt>
            <c:idx val="4"/>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9-C7F3-49B5-9182-BB83E38E56C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Sheet1!$E$99:$E$104</c:f>
              <c:strCache>
                <c:ptCount val="5"/>
                <c:pt idx="0">
                  <c:v>Alexandria</c:v>
                </c:pt>
                <c:pt idx="1">
                  <c:v>Aswan</c:v>
                </c:pt>
                <c:pt idx="2">
                  <c:v>Cairo</c:v>
                </c:pt>
                <c:pt idx="3">
                  <c:v>Giza</c:v>
                </c:pt>
                <c:pt idx="4">
                  <c:v>Mansoura</c:v>
                </c:pt>
              </c:strCache>
            </c:strRef>
          </c:cat>
          <c:val>
            <c:numRef>
              <c:f>Sheet1!$F$99:$F$104</c:f>
              <c:numCache>
                <c:formatCode>General</c:formatCode>
                <c:ptCount val="5"/>
                <c:pt idx="0">
                  <c:v>3654</c:v>
                </c:pt>
                <c:pt idx="1">
                  <c:v>4001</c:v>
                </c:pt>
                <c:pt idx="2">
                  <c:v>3931</c:v>
                </c:pt>
                <c:pt idx="3">
                  <c:v>3954</c:v>
                </c:pt>
                <c:pt idx="4">
                  <c:v>4046</c:v>
                </c:pt>
              </c:numCache>
            </c:numRef>
          </c:val>
          <c:extLst>
            <c:ext xmlns:c16="http://schemas.microsoft.com/office/drawing/2014/chart" uri="{C3380CC4-5D6E-409C-BE32-E72D297353CC}">
              <c16:uniqueId val="{0000000A-C7F3-49B5-9182-BB83E38E56C7}"/>
            </c:ext>
          </c:extLst>
        </c:ser>
        <c:dLbls>
          <c:showLegendKey val="0"/>
          <c:showVal val="0"/>
          <c:showCatName val="0"/>
          <c:showSerName val="0"/>
          <c:showPercent val="0"/>
          <c:showBubbleSize val="0"/>
          <c:showLeaderLines val="0"/>
        </c:dLbls>
        <c:firstSliceAng val="3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9525</xdr:rowOff>
    </xdr:from>
    <xdr:to>
      <xdr:col>7</xdr:col>
      <xdr:colOff>561975</xdr:colOff>
      <xdr:row>19</xdr:row>
      <xdr:rowOff>161925</xdr:rowOff>
    </xdr:to>
    <xdr:graphicFrame macro="">
      <xdr:nvGraphicFramePr>
        <xdr:cNvPr id="2" name="Chart 1">
          <a:extLst>
            <a:ext uri="{FF2B5EF4-FFF2-40B4-BE49-F238E27FC236}">
              <a16:creationId xmlns:a16="http://schemas.microsoft.com/office/drawing/2014/main" id="{B8F20B44-5650-4AD1-BF7B-361523E18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xdr:colOff>
      <xdr:row>8</xdr:row>
      <xdr:rowOff>0</xdr:rowOff>
    </xdr:from>
    <xdr:to>
      <xdr:col>19</xdr:col>
      <xdr:colOff>161926</xdr:colOff>
      <xdr:row>19</xdr:row>
      <xdr:rowOff>133350</xdr:rowOff>
    </xdr:to>
    <xdr:graphicFrame macro="">
      <xdr:nvGraphicFramePr>
        <xdr:cNvPr id="3" name="Chart 2">
          <a:extLst>
            <a:ext uri="{FF2B5EF4-FFF2-40B4-BE49-F238E27FC236}">
              <a16:creationId xmlns:a16="http://schemas.microsoft.com/office/drawing/2014/main" id="{604B1E7A-7E95-4428-8CD1-2AA756E56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20</xdr:row>
      <xdr:rowOff>66675</xdr:rowOff>
    </xdr:from>
    <xdr:to>
      <xdr:col>7</xdr:col>
      <xdr:colOff>544287</xdr:colOff>
      <xdr:row>33</xdr:row>
      <xdr:rowOff>54429</xdr:rowOff>
    </xdr:to>
    <xdr:graphicFrame macro="">
      <xdr:nvGraphicFramePr>
        <xdr:cNvPr id="4" name="Chart 3">
          <a:extLst>
            <a:ext uri="{FF2B5EF4-FFF2-40B4-BE49-F238E27FC236}">
              <a16:creationId xmlns:a16="http://schemas.microsoft.com/office/drawing/2014/main" id="{96460862-A373-4B75-AC84-E8C4AC9CA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62593</xdr:colOff>
      <xdr:row>34</xdr:row>
      <xdr:rowOff>25853</xdr:rowOff>
    </xdr:from>
    <xdr:to>
      <xdr:col>31</xdr:col>
      <xdr:colOff>204108</xdr:colOff>
      <xdr:row>56</xdr:row>
      <xdr:rowOff>122464</xdr:rowOff>
    </xdr:to>
    <xdr:graphicFrame macro="">
      <xdr:nvGraphicFramePr>
        <xdr:cNvPr id="5" name="Chart 4">
          <a:extLst>
            <a:ext uri="{FF2B5EF4-FFF2-40B4-BE49-F238E27FC236}">
              <a16:creationId xmlns:a16="http://schemas.microsoft.com/office/drawing/2014/main" id="{7EE30847-0213-48FC-9296-FADDE09EF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244927</xdr:colOff>
      <xdr:row>8</xdr:row>
      <xdr:rowOff>1</xdr:rowOff>
    </xdr:from>
    <xdr:to>
      <xdr:col>31</xdr:col>
      <xdr:colOff>190499</xdr:colOff>
      <xdr:row>33</xdr:row>
      <xdr:rowOff>13607</xdr:rowOff>
    </xdr:to>
    <xdr:graphicFrame macro="">
      <xdr:nvGraphicFramePr>
        <xdr:cNvPr id="7" name="Chart 6">
          <a:extLst>
            <a:ext uri="{FF2B5EF4-FFF2-40B4-BE49-F238E27FC236}">
              <a16:creationId xmlns:a16="http://schemas.microsoft.com/office/drawing/2014/main" id="{72FC796A-1692-480D-8020-17A46D0B3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108856</xdr:colOff>
      <xdr:row>20</xdr:row>
      <xdr:rowOff>54429</xdr:rowOff>
    </xdr:from>
    <xdr:to>
      <xdr:col>19</xdr:col>
      <xdr:colOff>95250</xdr:colOff>
      <xdr:row>33</xdr:row>
      <xdr:rowOff>13607</xdr:rowOff>
    </xdr:to>
    <xdr:graphicFrame macro="">
      <xdr:nvGraphicFramePr>
        <xdr:cNvPr id="8" name="Chart 7">
          <a:extLst>
            <a:ext uri="{FF2B5EF4-FFF2-40B4-BE49-F238E27FC236}">
              <a16:creationId xmlns:a16="http://schemas.microsoft.com/office/drawing/2014/main" id="{167181F4-5007-43ED-94E6-7C74585F7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31</xdr:col>
      <xdr:colOff>388421</xdr:colOff>
      <xdr:row>7</xdr:row>
      <xdr:rowOff>216473</xdr:rowOff>
    </xdr:from>
    <xdr:to>
      <xdr:col>33</xdr:col>
      <xdr:colOff>625929</xdr:colOff>
      <xdr:row>21</xdr:row>
      <xdr:rowOff>2476</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7B889126-3BE5-459E-B7B9-9FDFA6D0376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724421" y="1563580"/>
              <a:ext cx="1598222" cy="231693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389659</xdr:colOff>
      <xdr:row>22</xdr:row>
      <xdr:rowOff>77932</xdr:rowOff>
    </xdr:from>
    <xdr:to>
      <xdr:col>36</xdr:col>
      <xdr:colOff>311728</xdr:colOff>
      <xdr:row>32</xdr:row>
      <xdr:rowOff>51955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AEF3ADB0-676B-4ED2-B282-5EECF383F2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725659" y="4132861"/>
              <a:ext cx="3323855" cy="174295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397081</xdr:colOff>
      <xdr:row>32</xdr:row>
      <xdr:rowOff>111332</xdr:rowOff>
    </xdr:from>
    <xdr:to>
      <xdr:col>33</xdr:col>
      <xdr:colOff>557894</xdr:colOff>
      <xdr:row>47</xdr:row>
      <xdr:rowOff>34018</xdr:rowOff>
    </xdr:to>
    <mc:AlternateContent xmlns:mc="http://schemas.openxmlformats.org/markup-compatibility/2006">
      <mc:Choice xmlns:a14="http://schemas.microsoft.com/office/drawing/2010/main" Requires="a14">
        <xdr:graphicFrame macro="">
          <xdr:nvGraphicFramePr>
            <xdr:cNvPr id="16" name="Quantity">
              <a:extLst>
                <a:ext uri="{FF2B5EF4-FFF2-40B4-BE49-F238E27FC236}">
                  <a16:creationId xmlns:a16="http://schemas.microsoft.com/office/drawing/2014/main" id="{664AC56C-9872-413B-AD70-DBD3FA437FC0}"/>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21733081" y="5935189"/>
              <a:ext cx="1521527" cy="257607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410689</xdr:colOff>
      <xdr:row>47</xdr:row>
      <xdr:rowOff>68037</xdr:rowOff>
    </xdr:from>
    <xdr:to>
      <xdr:col>33</xdr:col>
      <xdr:colOff>585109</xdr:colOff>
      <xdr:row>56</xdr:row>
      <xdr:rowOff>81643</xdr:rowOff>
    </xdr:to>
    <mc:AlternateContent xmlns:mc="http://schemas.openxmlformats.org/markup-compatibility/2006">
      <mc:Choice xmlns:a14="http://schemas.microsoft.com/office/drawing/2010/main" Requires="a14">
        <xdr:graphicFrame macro="">
          <xdr:nvGraphicFramePr>
            <xdr:cNvPr id="17" name="Sales">
              <a:extLst>
                <a:ext uri="{FF2B5EF4-FFF2-40B4-BE49-F238E27FC236}">
                  <a16:creationId xmlns:a16="http://schemas.microsoft.com/office/drawing/2014/main" id="{9CA0FC66-84DB-4FCC-A0DC-A5FE1BB7F5D7}"/>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21746689" y="8545287"/>
              <a:ext cx="1535134" cy="160564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630876</xdr:colOff>
      <xdr:row>32</xdr:row>
      <xdr:rowOff>141022</xdr:rowOff>
    </xdr:from>
    <xdr:to>
      <xdr:col>36</xdr:col>
      <xdr:colOff>302804</xdr:colOff>
      <xdr:row>42</xdr:row>
      <xdr:rowOff>27215</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DA4A6F59-B211-40FC-BE90-1ABEC6F173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3327590" y="5964879"/>
              <a:ext cx="1713000" cy="165512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630876</xdr:colOff>
      <xdr:row>42</xdr:row>
      <xdr:rowOff>97725</xdr:rowOff>
    </xdr:from>
    <xdr:to>
      <xdr:col>36</xdr:col>
      <xdr:colOff>381494</xdr:colOff>
      <xdr:row>56</xdr:row>
      <xdr:rowOff>68037</xdr:rowOff>
    </xdr:to>
    <mc:AlternateContent xmlns:mc="http://schemas.openxmlformats.org/markup-compatibility/2006">
      <mc:Choice xmlns:a14="http://schemas.microsoft.com/office/drawing/2010/main" Requires="a14">
        <xdr:graphicFrame macro="">
          <xdr:nvGraphicFramePr>
            <xdr:cNvPr id="20" name="ProductName">
              <a:extLst>
                <a:ext uri="{FF2B5EF4-FFF2-40B4-BE49-F238E27FC236}">
                  <a16:creationId xmlns:a16="http://schemas.microsoft.com/office/drawing/2014/main" id="{C392F0FB-C2D7-415D-AC23-E2F48CEB1505}"/>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23327590" y="7690511"/>
              <a:ext cx="1791690" cy="244681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95250</xdr:colOff>
      <xdr:row>8</xdr:row>
      <xdr:rowOff>108857</xdr:rowOff>
    </xdr:from>
    <xdr:to>
      <xdr:col>36</xdr:col>
      <xdr:colOff>312964</xdr:colOff>
      <xdr:row>21</xdr:row>
      <xdr:rowOff>163286</xdr:rowOff>
    </xdr:to>
    <mc:AlternateContent xmlns:mc="http://schemas.openxmlformats.org/markup-compatibility/2006">
      <mc:Choice xmlns:a14="http://schemas.microsoft.com/office/drawing/2010/main" Requires="a14">
        <xdr:graphicFrame macro="">
          <xdr:nvGraphicFramePr>
            <xdr:cNvPr id="21" name="OrderID">
              <a:extLst>
                <a:ext uri="{FF2B5EF4-FFF2-40B4-BE49-F238E27FC236}">
                  <a16:creationId xmlns:a16="http://schemas.microsoft.com/office/drawing/2014/main" id="{F3041760-A010-4E49-B9E1-7059CC9CE91F}"/>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dr:sp macro="" textlink="">
          <xdr:nvSpPr>
            <xdr:cNvPr id="0" name=""/>
            <xdr:cNvSpPr>
              <a:spLocks noTextEdit="1"/>
            </xdr:cNvSpPr>
          </xdr:nvSpPr>
          <xdr:spPr>
            <a:xfrm>
              <a:off x="23472321" y="1687286"/>
              <a:ext cx="1578429" cy="235403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3297453706" createdVersion="5" refreshedVersion="8" minRefreshableVersion="3" recordCount="0" supportSubquery="1" supportAdvancedDrill="1" xr:uid="{CFCF9318-2E32-45A2-B7ED-B9AB498B0CF9}">
  <cacheSource type="external" connectionId="5"/>
  <cacheFields count="3">
    <cacheField name="[Customers].[Region].[Region]" caption="Region" numFmtId="0" hierarchy="11" level="1">
      <sharedItems count="5">
        <s v="Alexandria"/>
        <s v="Aswan"/>
        <s v="Cairo"/>
        <s v="Giza"/>
        <s v="Mansoura"/>
      </sharedItems>
    </cacheField>
    <cacheField name="[Measures].[Count of OrderID]" caption="Count of OrderID" numFmtId="0" hierarchy="33" level="32767"/>
    <cacheField name="[Orders].[OrderID].[OrderID]" caption="OrderID" numFmtId="0" hierarchy="12"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3" unbalanced="0"/>
    <cacheHierarchy uniqueName="[Customers].[First Name]" caption="First Name" attribute="1" defaultMemberUniqueName="[Customers].[First Name].[All]" allUniqueName="[Customers].[First Name].[All]" dimensionUniqueName="[Customers]" displayFolder="" count="2" memberValueDatatype="130" unbalanced="0"/>
    <cacheHierarchy uniqueName="[Customers].[Second Name]" caption="Second Name" attribute="1" defaultMemberUniqueName="[Customers].[Second Name].[All]" allUniqueName="[Customers].[Second 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2" memberValueDatatype="2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2" memberValueDatatype="130" unbalanced="0"/>
    <cacheHierarchy uniqueName="[Orders].[New Date]" caption="New Date" attribute="1" time="1" defaultMemberUniqueName="[Orders].[New Date].[All]" allUniqueName="[Orders].[New Date].[All]" dimensionUniqueName="[Orders]" displayFolder="" count="2"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2"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Measures].[Total Sales]" caption="Total Sale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3299652777" createdVersion="5" refreshedVersion="8" minRefreshableVersion="3" recordCount="0" supportSubquery="1" supportAdvancedDrill="1" xr:uid="{AB77F2F1-F658-468B-B235-2121C5C2288E}">
  <cacheSource type="external" connectionId="5"/>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Sales]" caption="Total Sales" numFmtId="0" hierarchy="22" level="32767"/>
    <cacheField name="[Orders].[OrderID].[OrderID]" caption="OrderID" numFmtId="0" hierarchy="12"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2" memberValueDatatype="2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3300462962" createdVersion="5" refreshedVersion="8" minRefreshableVersion="3" recordCount="0" supportSubquery="1" supportAdvancedDrill="1" xr:uid="{C747B004-9F4C-4857-A59C-1E513275836F}">
  <cacheSource type="external" connectionId="5"/>
  <cacheFields count="3">
    <cacheField name="[Customers].[Region].[Region]" caption="Region" numFmtId="0" hierarchy="11" level="1">
      <sharedItems count="5">
        <s v="Alexandria"/>
        <s v="Aswan"/>
        <s v="Cairo"/>
        <s v="Giza"/>
        <s v="Mansoura"/>
      </sharedItems>
    </cacheField>
    <cacheField name="[Measures].[Count of ProductID]" caption="Count of ProductID" numFmtId="0" hierarchy="37" level="32767"/>
    <cacheField name="[Orders].[OrderID].[OrderID]" caption="OrderID" numFmtId="0" hierarchy="12"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2" memberValueDatatype="2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33005787" createdVersion="5" refreshedVersion="8" minRefreshableVersion="3" recordCount="0" supportSubquery="1" supportAdvancedDrill="1" xr:uid="{22C0D849-F09F-4950-93D4-C4991A4A13EA}">
  <cacheSource type="external" connectionId="5"/>
  <cacheFields count="1">
    <cacheField name="[Orders].[OrderID].[OrderID]" caption="OrderID" numFmtId="0" hierarchy="12"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2" memberValueDatatype="20" unbalanced="0">
      <fieldsUsage count="2">
        <fieldUsage x="-1"/>
        <fieldUsage x="0"/>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3301736109" createdVersion="5" refreshedVersion="8" minRefreshableVersion="3" recordCount="0" supportSubquery="1" supportAdvancedDrill="1" xr:uid="{2595652D-EAE0-4517-AB8A-75B71CD2D2E1}">
  <cacheSource type="external" connectionId="5"/>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Sales]" caption="Total Sales" numFmtId="0" hierarchy="22" level="32767"/>
    <cacheField name="[Orders].[OrderID].[OrderID]" caption="OrderID" numFmtId="0" hierarchy="12"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2" memberValueDatatype="2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330266204" createdVersion="5" refreshedVersion="8" minRefreshableVersion="3" recordCount="0" supportSubquery="1" supportAdvancedDrill="1" xr:uid="{A2345A71-9871-4AC8-BA7E-DF446700FAF2}">
  <cacheSource type="external" connectionId="5"/>
  <cacheFields count="3">
    <cacheField name="[Products].[Category].[Category]" caption="Category" numFmtId="0" hierarchy="20" level="1">
      <sharedItems count="5">
        <s v="Books"/>
        <s v="Clothing"/>
        <s v="Electronics"/>
        <s v="Furniture"/>
        <s v="Toys"/>
      </sharedItems>
    </cacheField>
    <cacheField name="[Measures].[Count of OrderID]" caption="Count of OrderID" numFmtId="0" hierarchy="33" level="32767"/>
    <cacheField name="[Orders].[OrderID].[OrderID]" caption="OrderID" numFmtId="0" hierarchy="12"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2" memberValueDatatype="2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3303587964" createdVersion="5" refreshedVersion="8" minRefreshableVersion="3" recordCount="0" supportSubquery="1" supportAdvancedDrill="1" xr:uid="{2AF84134-D071-4596-929B-52BD7712C922}">
  <cacheSource type="external" connectionId="5"/>
  <cacheFields count="6">
    <cacheField name="[Products].[ProductName].[ProductName]" caption="ProductName" numFmtId="0" hierarchy="19"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cacheField>
    <cacheField name="[Measures].[Total Sales]" caption="Total Sales" numFmtId="0" hierarchy="22" level="32767"/>
    <cacheField name="[Calendar].[Date Hierarchy].[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Calendar].[Date Hierarchy].[Year].&amp;[2024]"/>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Orders].[OrderID].[OrderID]" caption="OrderID" numFmtId="0" hierarchy="12"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3" unbalanced="0"/>
    <cacheHierarchy uniqueName="[Customers].[First Name]" caption="First Name" attribute="1" defaultMemberUniqueName="[Customers].[First Name].[All]" allUniqueName="[Customers].[First Name].[All]" dimensionUniqueName="[Customers]" displayFolder="" count="2" memberValueDatatype="130" unbalanced="0"/>
    <cacheHierarchy uniqueName="[Customers].[Second Name]" caption="Second Name" attribute="1" defaultMemberUniqueName="[Customers].[Second Name].[All]" allUniqueName="[Customers].[Second 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2" memberValueDatatype="20" unbalanced="0">
      <fieldsUsage count="2">
        <fieldUsage x="-1"/>
        <fieldUsage x="5"/>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2" memberValueDatatype="130" unbalanced="0"/>
    <cacheHierarchy uniqueName="[Orders].[New Date]" caption="New Date" attribute="1" time="1" defaultMemberUniqueName="[Orders].[New Date].[All]" allUniqueName="[Orders].[New Date].[All]" dimensionUniqueName="[Orders]" displayFolder="" count="2"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2" memberValueDatatype="3"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Measures].[Total Sales]" caption="Total Sales"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3304513888" createdVersion="5" refreshedVersion="8" minRefreshableVersion="3" recordCount="0" supportSubquery="1" supportAdvancedDrill="1" xr:uid="{ED09659F-DE75-49EE-A535-E302A0F81DBB}">
  <cacheSource type="external" connectionId="5"/>
  <cacheFields count="3">
    <cacheField name="[Measures].[Sum of Sales]" caption="Sum of Sales" numFmtId="0" hierarchy="30" level="32767"/>
    <cacheField name="[Customers].[Region].[Region]" caption="Region" numFmtId="0" hierarchy="11" level="1">
      <sharedItems count="5">
        <s v="Alexandria"/>
        <s v="Aswan"/>
        <s v="Cairo"/>
        <s v="Giza"/>
        <s v="Mansoura"/>
      </sharedItems>
    </cacheField>
    <cacheField name="[Orders].[OrderID].[OrderID]" caption="OrderID" numFmtId="0" hierarchy="12"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Orders].[OrderID]" caption="OrderID" attribute="1" defaultMemberUniqueName="[Orders].[OrderID].[All]" allUniqueName="[Orders].[OrderID].[All]" dimensionUniqueName="[Orders]" displayFolder="" count="2" memberValueDatatype="2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93564004631" createdVersion="5" refreshedVersion="8" minRefreshableVersion="3" recordCount="0" supportSubquery="1" supportAdvancedDrill="1" xr:uid="{D4034070-D723-4C32-89C4-6E088505285D}">
  <cacheSource type="external" connectionId="5"/>
  <cacheFields count="4">
    <cacheField name="[Products].[ProductName].[ProductName]" caption="ProductName" numFmtId="0" hierarchy="19"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cacheField>
    <cacheField name="[Measures].[Total Sales]" caption="Total Sales" numFmtId="0" hierarchy="22" level="32767"/>
    <cacheField name="[Measures].[Count of OrderID]" caption="Count of OrderID" numFmtId="0" hierarchy="33" level="32767"/>
    <cacheField name="[Measures].[Count of Quantity]" caption="Count of Quantity" numFmtId="0" hierarchy="39" level="32767"/>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501128356482" createdVersion="5" refreshedVersion="8" minRefreshableVersion="3" recordCount="0" supportSubquery="1" supportAdvancedDrill="1" xr:uid="{C4FF1A5C-AC44-4F1B-84A9-D5427B0D83E8}">
  <cacheSource type="external" connectionId="5"/>
  <cacheFields count="2">
    <cacheField name="[Measures].[Count of OrderID]" caption="Count of OrderID" numFmtId="0" hierarchy="33" level="32767"/>
    <cacheField name="[Measures].[Count of Quantity]" caption="Count of Quantity" numFmtId="0" hierarchy="39" level="32767"/>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76120486113" createdVersion="3" refreshedVersion="8" minRefreshableVersion="3" recordCount="0" supportSubquery="1" supportAdvancedDrill="1" xr:uid="{2298CAE7-4DE2-444B-91AC-269F5F6C49F1}">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Measures].[Total Sales]" caption="Total Sale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09256252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278.482729745374" createdVersion="3" refreshedVersion="8" minRefreshableVersion="3" recordCount="0" supportSubquery="1" supportAdvancedDrill="1" xr:uid="{96D9FC92-0F02-4BB7-B1B9-750AA62394F9}">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3" unbalanced="0"/>
    <cacheHierarchy uniqueName="[Customers].[First Name]" caption="First Name" attribute="1" defaultMemberUniqueName="[Customers].[First Name].[All]" allUniqueName="[Customers].[First Name].[All]" dimensionUniqueName="[Customers]" displayFolder="" count="0" memberValueDatatype="130" unbalanced="0"/>
    <cacheHierarchy uniqueName="[Customers].[Second Name]" caption="Second Name" attribute="1" defaultMemberUniqueName="[Customers].[Second Name].[All]" allUniqueName="[Customers].[Second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3"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Calendar"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18"/>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6346457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A47E2-CFDB-4272-BB39-E8DCB848FF00}" name="PivotTable17" cacheId="1148" dataOnRows="1" applyNumberFormats="0" applyBorderFormats="0" applyFontFormats="0" applyPatternFormats="0" applyAlignmentFormats="0" applyWidthHeightFormats="1" dataCaption="Values" tag="a7126dc5-1127-4c0e-a53b-cf2d7832f68a" updatedVersion="8" minRefreshableVersion="3" subtotalHiddenItems="1" itemPrintTitles="1" createdVersion="5" indent="0" outline="1" outlineData="1" multipleFieldFilters="0" chartFormat="7">
  <location ref="D35:E37" firstHeaderRow="1" firstDataRow="1" firstDataCol="1"/>
  <pivotFields count="2">
    <pivotField dataField="1" subtotalTop="0" showAll="0" defaultSubtotal="0"/>
    <pivotField dataField="1" subtotalTop="0" showAll="0" defaultSubtotal="0"/>
  </pivotFields>
  <rowFields count="1">
    <field x="-2"/>
  </rowFields>
  <rowItems count="2">
    <i>
      <x/>
    </i>
    <i i="1">
      <x v="1"/>
    </i>
  </rowItems>
  <colItems count="1">
    <i/>
  </colItems>
  <dataFields count="2">
    <dataField name="Count of OrderID" fld="0" subtotal="count" baseField="0" baseItem="0"/>
    <dataField name="Count of Quantity" fld="1" subtotal="count" baseField="0" baseItem="0"/>
  </dataFields>
  <formats count="1">
    <format dxfId="30">
      <pivotArea grandRow="1" outline="0" collapsedLevelsAreSubtotals="1" fieldPosition="0"/>
    </format>
  </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D8ECF-93CF-4F56-916A-BFD2CEF905E0}" name="PivotTable16" cacheId="1057" dataOnRows="1" applyNumberFormats="0" applyBorderFormats="0" applyFontFormats="0" applyPatternFormats="0" applyAlignmentFormats="0" applyWidthHeightFormats="1" dataCaption="Values" tag="82b70a7d-5248-4d75-be63-11e86837c121" updatedVersion="8" minRefreshableVersion="3" useAutoFormatting="1" subtotalHiddenItems="1" itemPrintTitles="1" createdVersion="5" indent="0" outline="1" outlineData="1" multipleFieldFilters="0" chartFormat="10">
  <location ref="K54:M71" firstHeaderRow="1" firstDataRow="1" firstDataCol="0"/>
  <pivotFields count="1">
    <pivotField allDrilled="1" subtotalTop="0" showAll="0" dataSourceSort="1" defaultSubtotal="0" defaultAttributeDrillState="1"/>
  </pivotFields>
  <formats count="2">
    <format dxfId="46">
      <pivotArea grandRow="1" outline="0" collapsedLevelsAreSubtotals="1" fieldPosition="0"/>
    </format>
    <format dxfId="47">
      <pivotArea outline="0" collapsedLevelsAreSubtotals="1" fieldPosition="0"/>
    </format>
  </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BC9518-AE1D-49B3-A61B-871EDA8EA473}" name="PivotTable14" cacheId="1054" applyNumberFormats="0" applyBorderFormats="0" applyFontFormats="0" applyPatternFormats="0" applyAlignmentFormats="0" applyWidthHeightFormats="1" dataCaption="Values" tag="99a7f313-bfb0-4e60-a09c-21652f1d8ce5" updatedVersion="8" minRefreshableVersion="3" useAutoFormatting="1" subtotalHiddenItems="1" itemPrintTitles="1" createdVersion="5" indent="0" outline="1" outlineData="1" multipleFieldFilters="0" chartFormat="15">
  <location ref="E98:F10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roductID" fld="1" subtotal="count" baseField="0" baseItem="0"/>
  </dataFields>
  <chartFormats count="6">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0" count="1" selected="0">
            <x v="0"/>
          </reference>
        </references>
      </pivotArea>
    </chartFormat>
    <chartFormat chart="14" format="14">
      <pivotArea type="data" outline="0" fieldPosition="0">
        <references count="2">
          <reference field="4294967294" count="1" selected="0">
            <x v="0"/>
          </reference>
          <reference field="0" count="1" selected="0">
            <x v="1"/>
          </reference>
        </references>
      </pivotArea>
    </chartFormat>
    <chartFormat chart="14" format="15">
      <pivotArea type="data" outline="0" fieldPosition="0">
        <references count="2">
          <reference field="4294967294" count="1" selected="0">
            <x v="0"/>
          </reference>
          <reference field="0" count="1" selected="0">
            <x v="2"/>
          </reference>
        </references>
      </pivotArea>
    </chartFormat>
    <chartFormat chart="14" format="16">
      <pivotArea type="data" outline="0" fieldPosition="0">
        <references count="2">
          <reference field="4294967294" count="1" selected="0">
            <x v="0"/>
          </reference>
          <reference field="0" count="1" selected="0">
            <x v="3"/>
          </reference>
        </references>
      </pivotArea>
    </chartFormat>
    <chartFormat chart="14" format="17">
      <pivotArea type="data" outline="0" fieldPosition="0">
        <references count="2">
          <reference field="4294967294" count="1" selected="0">
            <x v="0"/>
          </reference>
          <reference field="0" count="1" selected="0">
            <x v="4"/>
          </reference>
        </references>
      </pivotArea>
    </chartFormat>
  </chart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602D89-7BA9-46F2-9BB5-2652599D8565}" name="PivotTable13" cacheId="1051" applyNumberFormats="0" applyBorderFormats="0" applyFontFormats="0" applyPatternFormats="0" applyAlignmentFormats="0" applyWidthHeightFormats="1" dataCaption="Values" tag="4d91aa7e-435c-433e-a3a8-b0326a497415" updatedVersion="8" minRefreshableVersion="3" subtotalHiddenItems="1" itemPrintTitles="1" createdVersion="5" indent="0" outline="1" outlineData="1" multipleFieldFilters="0" chartFormat="11">
  <location ref="N28:O41" firstHeaderRow="1" firstDataRow="1" firstDataCol="1"/>
  <pivotFields count="3">
    <pivotField axis="axisRow" allDrilled="1" subtotalTop="0" showAll="0" sortType="ascending" dataSourceSort="1"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1"/>
    </i>
    <i>
      <x v="1"/>
    </i>
    <i>
      <x v="10"/>
    </i>
    <i>
      <x v="8"/>
    </i>
    <i>
      <x v="2"/>
    </i>
    <i>
      <x v="9"/>
    </i>
    <i>
      <x v="5"/>
    </i>
    <i>
      <x/>
    </i>
    <i>
      <x v="7"/>
    </i>
    <i>
      <x v="6"/>
    </i>
    <i>
      <x v="3"/>
    </i>
    <i>
      <x v="4"/>
    </i>
    <i t="grand">
      <x/>
    </i>
  </rowItems>
  <colItems count="1">
    <i/>
  </colItems>
  <dataFields count="1">
    <dataField fld="1" subtotal="count" baseField="0" baseItem="0" numFmtId="177"/>
  </dataFields>
  <formats count="2">
    <format dxfId="48">
      <pivotArea grandRow="1" outline="0" collapsedLevelsAreSubtotals="1" fieldPosition="0"/>
    </format>
    <format dxfId="49">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4"/>
          </reference>
        </references>
      </pivotArea>
    </chartFormat>
  </chart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0A5D54-E4D3-4EF4-A79A-6DEA8F524C4D}" name="PivotTable6" cacheId="1069" applyNumberFormats="0" applyBorderFormats="0" applyFontFormats="0" applyPatternFormats="0" applyAlignmentFormats="0" applyWidthHeightFormats="1" dataCaption="Values" tag="620b28ba-d48d-4512-9b3b-bbc296d5c0f4" updatedVersion="8" minRefreshableVersion="3" subtotalHiddenItems="1" itemPrintTitles="1" createdVersion="5" indent="0" outline="1" outlineData="1" multipleFieldFilters="0" chartFormat="7">
  <location ref="L3:M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showDataAs="percentOfTotal" baseField="0" baseItem="0" numFmtId="10"/>
  </dataFields>
  <formats count="3">
    <format dxfId="50">
      <pivotArea outline="0" collapsedLevelsAreSubtotals="1" fieldPosition="0"/>
    </format>
    <format dxfId="51">
      <pivotArea grandRow="1" outline="0" collapsedLevelsAreSubtotals="1" fieldPosition="0"/>
    </format>
    <format dxfId="52">
      <pivotArea outline="0" fieldPosition="0">
        <references count="1">
          <reference field="4294967294" count="1">
            <x v="0"/>
          </reference>
        </references>
      </pivotArea>
    </format>
  </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2EF2F9-4CC7-4EDD-8B6D-4701DFE3D5A8}" name="PivotTable5" cacheId="1066" applyNumberFormats="0" applyBorderFormats="0" applyFontFormats="0" applyPatternFormats="0" applyAlignmentFormats="0" applyWidthHeightFormats="1" dataCaption="Values" tag="954a35c3-52ba-4814-96a7-5c582074d57b" updatedVersion="8" minRefreshableVersion="3" useAutoFormatting="1" subtotalHiddenItems="1" colGrandTotals="0" itemPrintTitles="1" createdVersion="5" indent="0" outline="1" outlineData="1" multipleFieldFilters="0">
  <location ref="F46:G73" firstHeaderRow="1" firstDataRow="2" firstDataCol="1"/>
  <pivotFields count="6">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xis="axisCol" allDrilled="1" subtotalTop="0" showAll="0" dataSourceSort="1" defaultSubtotal="0">
      <items count="1">
        <item c="1" x="0"/>
      </items>
    </pivotField>
    <pivotField axis="axisCol" subtotalTop="0" showAll="0" dataSourceSort="1" defaultSubtotal="0"/>
    <pivotField axis="axisCol" subtotalTop="0" showAll="0" dataSourceSort="1" defaultSubtotal="0"/>
    <pivotField allDrilled="1" subtotalTop="0" showAll="0" dataSourceSort="1" defaultSubtotal="0" defaultAttributeDrillState="1"/>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1">
    <i>
      <x/>
    </i>
  </colItems>
  <dataFields count="1">
    <dataField fld="1" subtotal="count" baseField="0" baseItem="0" numFmtId="164"/>
  </dataFields>
  <formats count="1">
    <format dxfId="45">
      <pivotArea outline="0" collapsedLevelsAreSubtotals="1" fieldPosition="0"/>
    </format>
  </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456C66-FEFD-46D0-8A0F-B0F20127B8A2}" name="PivotTable4" cacheId="1045" applyNumberFormats="0" applyBorderFormats="0" applyFontFormats="0" applyPatternFormats="0" applyAlignmentFormats="0" applyWidthHeightFormats="1" dataCaption="Values" tag="f94d2ef6-8be7-4756-8784-6c79c3a2dd36" updatedVersion="8" minRefreshableVersion="3" useAutoFormatting="1" subtotalHiddenItems="1" itemPrintTitles="1" createdVersion="5" indent="0" outline="1" outlineData="1" multipleFieldFilters="0" chartFormat="4">
  <location ref="J28:K3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ID" fld="1" subtotal="count" baseField="0" baseItem="0"/>
  </dataFields>
  <formats count="2">
    <format dxfId="53">
      <pivotArea grandRow="1" outline="0" collapsedLevelsAreSubtotals="1" fieldPosition="0"/>
    </format>
    <format dxfId="54">
      <pivotArea collapsedLevelsAreSubtotals="1" fieldPosition="0">
        <references count="1">
          <reference field="0" count="0"/>
        </references>
      </pivotArea>
    </format>
  </format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287599-B9C0-421A-9284-70C0CF8A45E5}" name="PivotTable3" cacheId="1063" applyNumberFormats="0" applyBorderFormats="0" applyFontFormats="0" applyPatternFormats="0" applyAlignmentFormats="0" applyWidthHeightFormats="1" dataCaption="Values" tag="050270a5-f2ed-468a-a23e-cb94d96221ca" updatedVersion="8" minRefreshableVersion="3" subtotalHiddenItems="1" itemPrintTitles="1" createdVersion="5" indent="0" outline="1" outlineData="1" multipleFieldFilters="0" chartFormat="6">
  <location ref="K15:L2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ID" fld="1" subtotal="count" baseField="0" baseItem="0"/>
  </dataFields>
  <formats count="1">
    <format dxfId="55">
      <pivotArea grandRow="1" outline="0" collapsedLevelsAreSubtotals="1" fieldPosition="0"/>
    </format>
  </format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pivotArea type="data" outline="0" fieldPosition="0">
        <references count="2">
          <reference field="4294967294" count="1" selected="0">
            <x v="0"/>
          </reference>
          <reference field="0" count="1" selected="0">
            <x v="4"/>
          </reference>
        </references>
      </pivotArea>
    </chartFormat>
  </chart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E57364-6372-464A-8CFA-07BD8447DDE6}" name="PivotTable2" cacheId="1060" applyNumberFormats="0" applyBorderFormats="0" applyFontFormats="0" applyPatternFormats="0" applyAlignmentFormats="0" applyWidthHeightFormats="1" dataCaption="Values" tag="0276a495-0d62-47bf-95d1-6388eb0aba2d" updatedVersion="8" minRefreshableVersion="3" useAutoFormatting="1" subtotalHiddenItems="1" itemPrintTitles="1" createdVersion="5" indent="0" outline="1" outlineData="1" multipleFieldFilters="0" chartFormat="7">
  <location ref="G14:H2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2">
    <format dxfId="56">
      <pivotArea grandRow="1" outline="0" collapsedLevelsAreSubtotals="1" fieldPosition="0"/>
    </format>
    <format dxfId="57">
      <pivotArea collapsedLevelsAreSubtotals="1" fieldPosition="0">
        <references count="1">
          <reference field="0" count="0"/>
        </references>
      </pivotArea>
    </format>
  </format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0" count="1" selected="0">
            <x v="3"/>
          </reference>
        </references>
      </pivotArea>
    </chartFormat>
    <chartFormat chart="3" format="16">
      <pivotArea type="data" outline="0" fieldPosition="0">
        <references count="2">
          <reference field="4294967294" count="1" selected="0">
            <x v="0"/>
          </reference>
          <reference field="0" count="1" selected="0">
            <x v="4"/>
          </reference>
        </references>
      </pivotArea>
    </chartFormat>
    <chartFormat chart="3" format="17">
      <pivotArea type="data" outline="0" fieldPosition="0">
        <references count="2">
          <reference field="4294967294" count="1" selected="0">
            <x v="0"/>
          </reference>
          <reference field="0" count="1" selected="0">
            <x v="7"/>
          </reference>
        </references>
      </pivotArea>
    </chartFormat>
    <chartFormat chart="3" format="18">
      <pivotArea type="data" outline="0" fieldPosition="0">
        <references count="2">
          <reference field="4294967294" count="1" selected="0">
            <x v="0"/>
          </reference>
          <reference field="0" count="1" selected="0">
            <x v="9"/>
          </reference>
        </references>
      </pivotArea>
    </chartFormat>
    <chartFormat chart="3" format="19">
      <pivotArea type="data" outline="0" fieldPosition="0">
        <references count="2">
          <reference field="4294967294" count="1" selected="0">
            <x v="0"/>
          </reference>
          <reference field="0" count="1" selected="0">
            <x v="10"/>
          </reference>
        </references>
      </pivotArea>
    </chartFormat>
    <chartFormat chart="3" format="20">
      <pivotArea type="data" outline="0" fieldPosition="0">
        <references count="2">
          <reference field="4294967294" count="1" selected="0">
            <x v="0"/>
          </reference>
          <reference field="0" count="1" selected="0">
            <x v="11"/>
          </reference>
        </references>
      </pivotArea>
    </chartFormat>
  </chart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2701A8-21B0-46AA-A14A-1569C8DDB666}" name="PivotTable1" cacheId="1075" applyNumberFormats="0" applyBorderFormats="0" applyFontFormats="0" applyPatternFormats="0" applyAlignmentFormats="0" applyWidthHeightFormats="1" dataCaption="Values" tag="85c23dcf-8a24-43e1-9264-36efe08a1711" updatedVersion="8" minRefreshableVersion="3" useAutoFormatting="1" subtotalHiddenItems="1" itemPrintTitles="1" createdVersion="5" indent="0" outline="1" outlineData="1" multipleFieldFilters="0" chartFormat="11">
  <location ref="B3:E29" firstHeaderRow="0" firstDataRow="1" firstDataCol="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fld="1" subtotal="count" baseField="0" baseItem="0"/>
    <dataField name="Count of OrderID" fld="2" subtotal="count" baseField="0" baseItem="0"/>
    <dataField name="Count of Quantity" fld="3" subtotal="count" baseField="0" baseItem="0"/>
  </dataFields>
  <formats count="4">
    <format dxfId="11">
      <pivotArea collapsedLevelsAreSubtotals="1" fieldPosition="0">
        <references count="1">
          <reference field="0" count="0"/>
        </references>
      </pivotArea>
    </format>
    <format dxfId="12">
      <pivotArea outline="0" collapsedLevelsAreSubtotals="1" fieldPosition="0">
        <references count="1">
          <reference field="4294967294" count="1" selected="0">
            <x v="1"/>
          </reference>
        </references>
      </pivotArea>
    </format>
    <format dxfId="13">
      <pivotArea collapsedLevelsAreSubtotals="1" fieldPosition="0">
        <references count="2">
          <reference field="4294967294" count="1" selected="0">
            <x v="0"/>
          </reference>
          <reference field="0" count="0"/>
        </references>
      </pivotArea>
    </format>
    <format dxfId="14">
      <pivotArea collapsedLevelsAreSubtotals="1" fieldPosition="0">
        <references count="2">
          <reference field="4294967294" count="1" selected="0">
            <x v="2"/>
          </reference>
          <reference field="0" count="0"/>
        </references>
      </pivotArea>
    </format>
  </formats>
  <chartFormats count="5">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0" count="1" selected="0">
            <x v="20"/>
          </reference>
        </references>
      </pivotArea>
    </chartFormat>
    <chartFormat chart="6" format="7">
      <pivotArea type="data" outline="0" fieldPosition="0">
        <references count="2">
          <reference field="4294967294" count="1" selected="0">
            <x v="0"/>
          </reference>
          <reference field="0" count="1" selected="0">
            <x v="8"/>
          </reference>
        </references>
      </pivotArea>
    </chartFormat>
    <chartFormat chart="6" format="8" series="1">
      <pivotArea type="data" outline="0" fieldPosition="0">
        <references count="1">
          <reference field="4294967294" count="1" selected="0">
            <x v="2"/>
          </reference>
        </references>
      </pivotArea>
    </chartFormat>
  </chartFormats>
  <pivotHierarchies count="4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DFFF264C-EB15-4012-9647-8FA6D29E3639}" sourceName="[Calendar].[Date Hierarchy]">
  <pivotTables>
    <pivotTable tabId="2" name="PivotTable4"/>
    <pivotTable tabId="2" name="PivotTable1"/>
    <pivotTable tabId="2" name="PivotTable13"/>
    <pivotTable tabId="2" name="PivotTable14"/>
    <pivotTable tabId="2" name="PivotTable16"/>
    <pivotTable tabId="2" name="PivotTable2"/>
    <pivotTable tabId="2" name="PivotTable3"/>
    <pivotTable tabId="2" name="PivotTable5"/>
    <pivotTable tabId="2" name="PivotTable6"/>
    <pivotTable tabId="2" name="PivotTable17"/>
  </pivotTables>
  <data>
    <olap pivotCacheId="1092562521">
      <levels count="4">
        <level uniqueName="[Calendar].[Date Hierarchy].[(All)]" sourceCaption="(All)" count="0"/>
        <level uniqueName="[Calendar].[Date Hierarchy].[Year]" sourceCaption="Year" count="0"/>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57F7E7-FBDE-4ACB-84EE-C28786D8F765}" sourceName="[Customers].[Region]">
  <pivotTables>
    <pivotTable tabId="2" name="PivotTable4"/>
  </pivotTables>
  <data>
    <olap pivotCacheId="1092562521">
      <levels count="2">
        <level uniqueName="[Customers].[Region].[(All)]" sourceCaption="(All)" count="0"/>
        <level uniqueName="[Customers].[Region].[Region]" sourceCaption="Region" count="5">
          <ranges>
            <range startItem="0">
              <i n="[Customers].[Region].&amp;[Alexandria]" c="Alexandria"/>
              <i n="[Customers].[Region].&amp;[Aswan]" c="Aswan"/>
              <i n="[Customers].[Region].&amp;[Cairo]" c="Cairo"/>
              <i n="[Customers].[Region].&amp;[Giza]" c="Giza"/>
              <i n="[Customers].[Region].&amp;[Mansoura]" c="Mansoura"/>
            </range>
          </ranges>
        </level>
      </levels>
      <selections count="1">
        <selection n="[Custom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1E103815-5821-4113-A050-7DBEE5E091D8}" sourceName="[Orders].[Quantity]">
  <pivotTables>
    <pivotTable tabId="2" name="PivotTable4"/>
    <pivotTable tabId="2" name="PivotTable1"/>
    <pivotTable tabId="2" name="PivotTable13"/>
    <pivotTable tabId="2" name="PivotTable14"/>
    <pivotTable tabId="2" name="PivotTable16"/>
    <pivotTable tabId="2" name="PivotTable2"/>
    <pivotTable tabId="2" name="PivotTable3"/>
    <pivotTable tabId="2" name="PivotTable5"/>
    <pivotTable tabId="2" name="PivotTable6"/>
    <pivotTable tabId="2" name="PivotTable17"/>
  </pivotTables>
  <data>
    <olap pivotCacheId="1092562521">
      <levels count="2">
        <level uniqueName="[Orders].[Quantity].[(All)]" sourceCaption="(All)" count="0"/>
        <level uniqueName="[Orders].[Quantity].[Quantity]" sourceCaption="Quantity" count="10">
          <ranges>
            <range startItem="0">
              <i n="[Orders].[Quantity].&amp;[1.]" c="1"/>
              <i n="[Orders].[Quantity].&amp;[2.]" c="2"/>
              <i n="[Orders].[Quantity].&amp;[3.]" c="3"/>
              <i n="[Orders].[Quantity].&amp;[4.]" c="4"/>
              <i n="[Orders].[Quantity].&amp;[5.]" c="5"/>
              <i n="[Orders].[Quantity].&amp;[6.]" c="6"/>
              <i n="[Orders].[Quantity].&amp;[7.]" c="7"/>
              <i n="[Orders].[Quantity].&amp;[8.]" c="8"/>
              <i n="[Orders].[Quantity].&amp;[9.]" c="9"/>
              <i n="[Orders].[Quantity].&amp;[1.E1]" c="10"/>
            </range>
          </ranges>
        </level>
      </levels>
      <selections count="1">
        <selection n="[Orders].[Quant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5C1B28BD-DB3C-422B-B565-883639D5A515}" sourceName="[Orders].[Sales]">
  <pivotTables>
    <pivotTable tabId="2" name="PivotTable4"/>
    <pivotTable tabId="2" name="PivotTable1"/>
    <pivotTable tabId="2" name="PivotTable13"/>
    <pivotTable tabId="2" name="PivotTable14"/>
    <pivotTable tabId="2" name="PivotTable16"/>
    <pivotTable tabId="2" name="PivotTable2"/>
    <pivotTable tabId="2" name="PivotTable3"/>
    <pivotTable tabId="2" name="PivotTable5"/>
    <pivotTable tabId="2" name="PivotTable6"/>
    <pivotTable tabId="2" name="PivotTable17"/>
  </pivotTables>
  <data>
    <olap pivotCacheId="1092562521">
      <levels count="2">
        <level uniqueName="[Orders].[Sales].[(All)]" sourceCaption="(All)" count="0"/>
        <level uniqueName="[Orders].[Sales].[Sales]" sourceCaption="Sales" count="250" sortOrder="ascending">
          <ranges>
            <range startItem="0">
              <i n="[Orders].[Sales].&amp;[6.267E1]" c="62.67"/>
              <i n="[Orders].[Sales].&amp;[1.2534E2]" c="125.34"/>
              <i n="[Orders].[Sales].&amp;[1.8801E2]" c="188.01"/>
              <i n="[Orders].[Sales].&amp;[2.E2]" c="200"/>
              <i n="[Orders].[Sales].&amp;[2.5068E2]" c="250.68"/>
              <i n="[Orders].[Sales].&amp;[3.1335E2]" c="313.35"/>
              <i n="[Orders].[Sales].&amp;[3.7602E2]" c="376.02"/>
              <i n="[Orders].[Sales].&amp;[4.E2]" c="400"/>
              <i n="[Orders].[Sales].&amp;[4.3773E2]" c="437.73"/>
              <i n="[Orders].[Sales].&amp;[4.3869E2]" c="438.69"/>
              <i n="[Orders].[Sales].&amp;[4.5854E2]" c="458.54"/>
              <i n="[Orders].[Sales].&amp;[4.7986E2]" c="479.86"/>
              <i n="[Orders].[Sales].&amp;[4.944E2]" c="494.4"/>
              <i n="[Orders].[Sales].&amp;[4.96E2]" c="496"/>
              <i n="[Orders].[Sales].&amp;[5.0136E2]" c="501.36"/>
              <i n="[Orders].[Sales].&amp;[5.0394E2]" c="503.94"/>
              <i n="[Orders].[Sales].&amp;[5.6403E2]" c="564.03"/>
              <i n="[Orders].[Sales].&amp;[5.8631E2]" c="586.31"/>
              <i n="[Orders].[Sales].&amp;[6.E2]" c="600"/>
              <i n="[Orders].[Sales].&amp;[6.267E2]" c="626.7"/>
              <i n="[Orders].[Sales].&amp;[6.6513E2]" c="665.13"/>
              <i n="[Orders].[Sales].&amp;[7.0636E2]" c="706.36"/>
              <i n="[Orders].[Sales].&amp;[7.1349E2]" c="713.49"/>
              <i n="[Orders].[Sales].&amp;[7.8814E2]" c="788.14"/>
              <i n="[Orders].[Sales].&amp;[8.E2]" c="800"/>
              <i n="[Orders].[Sales].&amp;[8.72E2]" c="872"/>
              <i n="[Orders].[Sales].&amp;[8.7546E2]" c="875.46"/>
              <i n="[Orders].[Sales].&amp;[9.1708E2]" c="917.08"/>
              <i n="[Orders].[Sales].&amp;[9.5972E2]" c="959.72"/>
              <i n="[Orders].[Sales].&amp;[9.888E2]" c="988.8"/>
              <i n="[Orders].[Sales].&amp;[9.92E2]" c="992"/>
              <i n="[Orders].[Sales].&amp;[1.E3]" c="1000"/>
              <i n="[Orders].[Sales].&amp;[1.00788E3]" c="1007.88"/>
              <i n="[Orders].[Sales].&amp;[1.17262E3]" c="1172.62"/>
              <i n="[Orders].[Sales].&amp;[1.2E3]" c="1200"/>
              <i n="[Orders].[Sales].&amp;[1.25611E3]" c="1256.11"/>
              <i n="[Orders].[Sales].&amp;[1.28958E3]" c="1289.58"/>
              <i n="[Orders].[Sales].&amp;[1.296E3]" c="1296"/>
              <i n="[Orders].[Sales].&amp;[1.31319E3]" c="1313.19"/>
              <i n="[Orders].[Sales].&amp;[1.31367E3]" c="1313.67"/>
              <i n="[Orders].[Sales].&amp;[1.33026E3]" c="1330.26"/>
              <i n="[Orders].[Sales].&amp;[1.36956E3]" c="1369.56"/>
              <i n="[Orders].[Sales].&amp;[1.3756200000000001E3]" c="1375.62"/>
              <i n="[Orders].[Sales].&amp;[1.385E3]" c="1385"/>
              <i n="[Orders].[Sales].&amp;[1.4E3]" c="1400"/>
              <i n="[Orders].[Sales].&amp;[1.41272E3]" c="1412.72"/>
              <i n="[Orders].[Sales].&amp;[1.423E3]" c="1423"/>
              <i n="[Orders].[Sales].&amp;[1.42698E3]" c="1426.98"/>
              <i n="[Orders].[Sales].&amp;[1.43958E3]" c="1439.58"/>
              <i n="[Orders].[Sales].&amp;[1.4718E3]" c="1471.8"/>
              <i n="[Orders].[Sales].&amp;[1.47298E3]" c="1472.98"/>
              <i n="[Orders].[Sales].&amp;[1.4831999999999998E3]" c="1483.2"/>
              <i n="[Orders].[Sales].&amp;[1.488E3]" c="1488"/>
              <i n="[Orders].[Sales].&amp;[1.51182E3]" c="1511.82"/>
              <i n="[Orders].[Sales].&amp;[1.57628E3]" c="1576.28"/>
              <i n="[Orders].[Sales].&amp;[1.6E3]" c="1600"/>
              <i n="[Orders].[Sales].&amp;[1.70261E3]" c="1702.61"/>
              <i n="[Orders].[Sales].&amp;[1.744E3]" c="1744"/>
              <i n="[Orders].[Sales].&amp;[1.75092E3]" c="1750.92"/>
              <i n="[Orders].[Sales].&amp;[1.7589299999999998E3]" c="1758.93"/>
              <i n="[Orders].[Sales].&amp;[1.8E3]" c="1800"/>
              <i n="[Orders].[Sales].&amp;[1.83416E3]" c="1834.16"/>
              <i n="[Orders].[Sales].&amp;[1.91944E3]" c="1919.44"/>
              <i n="[Orders].[Sales].&amp;[1.9776E3]" c="1977.6"/>
              <i n="[Orders].[Sales].&amp;[1.97957E3]" c="1979.57"/>
              <i n="[Orders].[Sales].&amp;[1.984E3]" c="1984"/>
              <i n="[Orders].[Sales].&amp;[1.9953899999999998E3]" c="1995.39"/>
              <i n="[Orders].[Sales].&amp;[2.E3]" c="2000"/>
              <i n="[Orders].[Sales].&amp;[2.01576E3]" c="2015.76"/>
              <i n="[Orders].[Sales].&amp;[2.11908E3]" c="2119.08"/>
              <i n="[Orders].[Sales].&amp;[2.1404700000000002E3]" c="2140.47"/>
              <i n="[Orders].[Sales].&amp;[2.18865E3]" c="2188.65"/>
              <i n="[Orders].[Sales].&amp;[2.2927000000000003E3]" c="2292.7"/>
              <i n="[Orders].[Sales].&amp;[2.34524E3]" c="2345.24"/>
              <i n="[Orders].[Sales].&amp;[2.36442E3]" c="2364.42"/>
              <i n="[Orders].[Sales].&amp;[2.3993E3]" c="2399.3"/>
              <i n="[Orders].[Sales].&amp;[2.472E3]" c="2472"/>
              <i n="[Orders].[Sales].&amp;[2.48E3]" c="2480"/>
              <i n="[Orders].[Sales].&amp;[2.51222E3]" c="2512.22"/>
              <i n="[Orders].[Sales].&amp;[2.5197E3]" c="2519.7"/>
              <i n="[Orders].[Sales].&amp;[2.57916E3]" c="2579.16"/>
              <i n="[Orders].[Sales].&amp;[2.592E3]" c="2592"/>
              <i n="[Orders].[Sales].&amp;[2.616E3]" c="2616"/>
              <i n="[Orders].[Sales].&amp;[2.62638E3]" c="2626.38"/>
              <i n="[Orders].[Sales].&amp;[2.62734E3]" c="2627.34"/>
              <i n="[Orders].[Sales].&amp;[2.66052E3]" c="2660.52"/>
              <i n="[Orders].[Sales].&amp;[2.73912E3]" c="2739.12"/>
              <i n="[Orders].[Sales].&amp;[2.7512400000000002E3]" c="2751.24"/>
              <i n="[Orders].[Sales].&amp;[2.77E3]" c="2770"/>
              <i n="[Orders].[Sales].&amp;[2.82544E3]" c="2825.44"/>
              <i n="[Orders].[Sales].&amp;[2.846E3]" c="2846"/>
              <i n="[Orders].[Sales].&amp;[2.85396E3]" c="2853.96"/>
              <i n="[Orders].[Sales].&amp;[2.87916E3]" c="2879.16"/>
              <i n="[Orders].[Sales].&amp;[2.9315499999999997E3]" c="2931.55"/>
              <i n="[Orders].[Sales].&amp;[2.9436E3]" c="2943.6"/>
              <i n="[Orders].[Sales].&amp;[2.94596E3]" c="2945.96"/>
              <i n="[Orders].[Sales].&amp;[2.9663999999999996E3]" c="2966.4"/>
              <i n="[Orders].[Sales].&amp;[2.976E3]" c="2976"/>
              <i n="[Orders].[Sales].&amp;[3.02364E3]" c="3023.64"/>
              <i n="[Orders].[Sales].&amp;[3.06411E3]" c="3064.11"/>
              <i n="[Orders].[Sales].&amp;[3.15256E3]" c="3152.56"/>
              <i n="[Orders].[Sales].&amp;[3.20978E3]" c="3209.78"/>
              <i n="[Orders].[Sales].&amp;[3.32565E3]" c="3325.65"/>
              <i n="[Orders].[Sales].&amp;[3.35902E3]" c="3359.02"/>
              <i n="[Orders].[Sales].&amp;[3.40522E3]" c="3405.22"/>
              <i n="[Orders].[Sales].&amp;[3.4607999999999997E3]" c="3460.8"/>
              <i n="[Orders].[Sales].&amp;[3.472E3]" c="3472"/>
              <i n="[Orders].[Sales].&amp;[3.488E3]" c="3488"/>
              <i n="[Orders].[Sales].&amp;[3.50184E3]" c="3501.84"/>
              <i n="[Orders].[Sales].&amp;[3.5178599999999996E3]" c="3517.86"/>
              <i n="[Orders].[Sales].&amp;[3.52758E3]" c="3527.58"/>
              <i n="[Orders].[Sales].&amp;[3.5318E3]" c="3531.8"/>
              <i n="[Orders].[Sales].&amp;[3.56745E3]" c="3567.45"/>
              <i n="[Orders].[Sales].&amp;[3.66832E3]" c="3668.32"/>
              <i n="[Orders].[Sales].&amp;[3.76833E3]" c="3768.33"/>
              <i n="[Orders].[Sales].&amp;[3.83888E3]" c="3838.88"/>
              <i n="[Orders].[Sales].&amp;[3.86874E3]" c="3868.74"/>
              <i n="[Orders].[Sales].&amp;[3.888E3]" c="3888"/>
              <i n="[Orders].[Sales].&amp;[3.93957E3]" c="3939.57"/>
              <i n="[Orders].[Sales].&amp;[3.9407E3]" c="3940.7"/>
              <i n="[Orders].[Sales].&amp;[3.94101E3]" c="3941.01"/>
              <i n="[Orders].[Sales].&amp;[3.9552E3]" c="3955.2"/>
              <i n="[Orders].[Sales].&amp;[3.95914E3]" c="3959.14"/>
              <i n="[Orders].[Sales].&amp;[3.968E3]" c="3968"/>
              <i n="[Orders].[Sales].&amp;[3.9907799999999997E3]" c="3990.78"/>
              <i n="[Orders].[Sales].&amp;[4.03152E3]" c="4031.52"/>
              <i n="[Orders].[Sales].&amp;[4.10417E3]" c="4104.17"/>
              <i n="[Orders].[Sales].&amp;[4.10868E3]" c="4108.68"/>
              <i n="[Orders].[Sales].&amp;[4.126860000000001E3]" c="4126.86"/>
              <i n="[Orders].[Sales].&amp;[4.155E3]" c="4155"/>
              <i n="[Orders].[Sales].&amp;[4.23816E3]" c="4238.16"/>
              <i n="[Orders].[Sales].&amp;[4.269E3]" c="4269"/>
              <i n="[Orders].[Sales].&amp;[4.2809400000000005E3]" c="4280.94"/>
              <i n="[Orders].[Sales].&amp;[4.31874E3]" c="4318.74"/>
              <i n="[Orders].[Sales].&amp;[4.36E3]" c="4360"/>
              <i n="[Orders].[Sales].&amp;[4.3773E3]" c="4377.3"/>
              <i n="[Orders].[Sales].&amp;[4.4154E3]" c="4415.4"/>
              <i n="[Orders].[Sales].&amp;[4.4189400000000005E3]" c="4418.94"/>
              <i n="[Orders].[Sales].&amp;[4.449599999999999E3]" c="4449.6"/>
              <i n="[Orders].[Sales].&amp;[4.464E3]" c="4464"/>
              <i n="[Orders].[Sales].&amp;[4.53546E3]" c="4535.46"/>
              <i n="[Orders].[Sales].&amp;[4.585400000000001E3]" c="4585.4"/>
              <i n="[Orders].[Sales].&amp;[4.65591E3]" c="4655.91"/>
              <i n="[Orders].[Sales].&amp;[4.69048E3]" c="4690.48"/>
              <i n="[Orders].[Sales].&amp;[4.72884E3]" c="4728.84"/>
              <i n="[Orders].[Sales].&amp;[4.7986E3]" c="4798.6"/>
              <i n="[Orders].[Sales].&amp;[4.944E3]" c="4944"/>
              <i n="[Orders].[Sales].&amp;[4.94452E3]" c="4944.52"/>
              <i n="[Orders].[Sales].&amp;[4.96E3]" c="4960"/>
              <i n="[Orders].[Sales].&amp;[4.99443E3]" c="4994.43"/>
              <i n="[Orders].[Sales].&amp;[5.02444E3]" c="5024.44"/>
              <i n="[Orders].[Sales].&amp;[5.0394E3]" c="5039.4"/>
              <i n="[Orders].[Sales].&amp;[5.10783E3]" c="5107.83"/>
              <i n="[Orders].[Sales].&amp;[5.15832E3]" c="5158.32"/>
              <i n="[Orders].[Sales].&amp;[5.184E3]" c="5184"/>
              <i n="[Orders].[Sales].&amp;[5.232E3]" c="5232"/>
              <i n="[Orders].[Sales].&amp;[5.25468E3]" c="5254.68"/>
              <i n="[Orders].[Sales].&amp;[5.276789999999999E3]" c="5276.79"/>
              <i n="[Orders].[Sales].&amp;[5.32104E3]" c="5321.04"/>
              <i n="[Orders].[Sales].&amp;[5.47824E3]" c="5478.24"/>
              <i n="[Orders].[Sales].&amp;[5.51698E3]" c="5516.98"/>
              <i n="[Orders].[Sales].&amp;[5.54E3]" c="5540"/>
              <i n="[Orders].[Sales].&amp;[5.65088E3]" c="5650.88"/>
              <i n="[Orders].[Sales].&amp;[5.692E3]" c="5692"/>
              <i n="[Orders].[Sales].&amp;[5.70792E3]" c="5707.92"/>
              <i n="[Orders].[Sales].&amp;[5.863099999999999E3]" c="5863.1"/>
              <i n="[Orders].[Sales].&amp;[5.8872E3]" c="5887.2"/>
              <i n="[Orders].[Sales].&amp;[5.89192E3]" c="5891.92"/>
              <i n="[Orders].[Sales].&amp;[5.93871E3]" c="5938.71"/>
              <i n="[Orders].[Sales].&amp;[5.98617E3]" c="5986.17"/>
              <i n="[Orders].[Sales].&amp;[6.104E3]" c="6104"/>
              <i n="[Orders].[Sales].&amp;[6.280549999999999E3]" c="6280.55"/>
              <i n="[Orders].[Sales].&amp;[6.30512E3]" c="6305.12"/>
              <i n="[Orders].[Sales].&amp;[6.35724E3]" c="6357.24"/>
              <i n="[Orders].[Sales].&amp;[6.42141E3]" c="6421.41"/>
              <i n="[Orders].[Sales].&amp;[6.4479E3]" c="6447.9"/>
              <i n="[Orders].[Sales].&amp;[6.48E3]" c="6480"/>
              <i n="[Orders].[Sales].&amp;[6.56835E3]" c="6568.35"/>
              <i n="[Orders].[Sales].&amp;[6.6513E3]" c="6651.3"/>
              <i n="[Orders].[Sales].&amp;[6.81044E3]" c="6810.44"/>
              <i n="[Orders].[Sales].&amp;[6.847799999999999E3]" c="6847.8"/>
              <i n="[Orders].[Sales].&amp;[6.925E3]" c="6925"/>
              <i n="[Orders].[Sales].&amp;[6.976E3]" c="6976"/>
              <i n="[Orders].[Sales].&amp;[7.0636E3]" c="7063.6"/>
              <i n="[Orders].[Sales].&amp;[7.09326E3]" c="7093.26"/>
              <i n="[Orders].[Sales].&amp;[7.115E3]" c="7115"/>
              <i n="[Orders].[Sales].&amp;[7.1349E3]" c="7134.9"/>
              <i n="[Orders].[Sales].&amp;[7.359E3]" c="7359"/>
              <i n="[Orders].[Sales].&amp;[7.3649E3]" c="7364.9"/>
              <i n="[Orders].[Sales].&amp;[7.53666E3]" c="7536.66"/>
              <i n="[Orders].[Sales].&amp;[7.73748E3]" c="7737.48"/>
              <i n="[Orders].[Sales].&amp;[7.776E3]" c="7776"/>
              <i n="[Orders].[Sales].&amp;[7.848E3]" c="7848"/>
              <i n="[Orders].[Sales].&amp;[7.8814E3]" c="7881.4"/>
              <i n="[Orders].[Sales].&amp;[7.88202E3]" c="7882.02"/>
              <i n="[Orders].[Sales].&amp;[7.91828E3]" c="7918.28"/>
              <i n="[Orders].[Sales].&amp;[8.21736E3]" c="8217.36"/>
              <i n="[Orders].[Sales].&amp;[8.31E3]" c="8310"/>
              <i n="[Orders].[Sales].&amp;[8.51305E3]" c="8513.05"/>
              <i n="[Orders].[Sales].&amp;[8.538E3]" c="8538"/>
              <i n="[Orders].[Sales].&amp;[8.72E3]" c="8720"/>
              <i n="[Orders].[Sales].&amp;[8.792769999999998E3]" c="8792.77"/>
              <i n="[Orders].[Sales].&amp;[8.8308E3]" c="8830.8"/>
              <i n="[Orders].[Sales].&amp;[8.837880000000001E3]" c="8837.88"/>
              <i n="[Orders].[Sales].&amp;[9.02706E3]" c="9027.06"/>
              <i n="[Orders].[Sales].&amp;[9.072E3]" c="9072"/>
              <i n="[Orders].[Sales].&amp;[9.19569E3]" c="9195.69"/>
              <i n="[Orders].[Sales].&amp;[9.58692E3]" c="9586.92"/>
              <i n="[Orders].[Sales].&amp;[9.695E3]" c="9695"/>
              <i n="[Orders].[Sales].&amp;[9.89785E3]" c="9897.85"/>
              <i n="[Orders].[Sales].&amp;[9.961E3]" c="9961"/>
              <i n="[Orders].[Sales].&amp;[1.004888E4]" c="10048.88"/>
              <i n="[Orders].[Sales].&amp;[1.021566E4]" c="10215.66"/>
              <i n="[Orders].[Sales].&amp;[1.03026E4]" c="10302.6"/>
              <i n="[Orders].[Sales].&amp;[1.031086E4]" c="10310.86"/>
              <i n="[Orders].[Sales].&amp;[1.031664E4]" c="10316.64"/>
              <i n="[Orders].[Sales].&amp;[1.0368E4]" c="10368"/>
              <i n="[Orders].[Sales].&amp;[1.050936E4]" c="10509.36"/>
              <i n="[Orders].[Sales].&amp;[1.095648E4]" c="10956.48"/>
              <i n="[Orders].[Sales].&amp;[1.108E4]" c="11080"/>
              <i n="[Orders].[Sales].&amp;[1.130499E4]" c="11304.99"/>
              <i n="[Orders].[Sales].&amp;[1.1384E4]" c="11384"/>
              <i n="[Orders].[Sales].&amp;[1.160622E4]" c="11606.22"/>
              <i n="[Orders].[Sales].&amp;[1.1664E4]" c="11664"/>
              <i n="[Orders].[Sales].&amp;[1.17744E4]" c="11774.4"/>
              <i n="[Orders].[Sales].&amp;[1.178384E4]" c="11783.84"/>
              <i n="[Orders].[Sales].&amp;[1.182303E4]" c="11823.03"/>
              <i n="[Orders].[Sales].&amp;[1.187742E4]" c="11877.42"/>
              <i n="[Orders].[Sales].&amp;[1.1918269999999998E4]" c="11918.27"/>
              <i n="[Orders].[Sales].&amp;[1.2326039999999999E4]" c="12326.04"/>
              <i n="[Orders].[Sales].&amp;[1.2465E4]" c="12465"/>
              <i n="[Orders].[Sales].&amp;[1.2561099999999998E4]" c="12561.1"/>
              <i n="[Orders].[Sales].&amp;[1.2807E4]" c="12807"/>
              <i n="[Orders].[Sales].&amp;[1.28958E4]" c="12895.8"/>
              <i n="[Orders].[Sales].&amp;[1.296E4]" c="12960"/>
              <i n="[Orders].[Sales].&amp;[1.31367E4]" c="13136.7"/>
              <i n="[Orders].[Sales].&amp;[1.3246199999999998E4]" c="13246.2"/>
              <i n="[Orders].[Sales].&amp;[1.325682E4]" c="13256.82"/>
              <i n="[Orders].[Sales].&amp;[1.362088E4]" c="13620.88"/>
              <i n="[Orders].[Sales].&amp;[1.3695599999999998E4]" c="13695.6"/>
              <i n="[Orders].[Sales].&amp;[1.385E4]" c="13850"/>
              <i n="[Orders].[Sales].&amp;[1.385699E4]" c="13856.99"/>
              <i n="[Orders].[Sales].&amp;[1.423E4]" c="14230"/>
              <i n="[Orders].[Sales].&amp;[1.4718E4]" c="14718"/>
              <i n="[Orders].[Sales].&amp;[1.47298E4]" c="14729.8"/>
              <i n="[Orders].[Sales].&amp;[1.532349E4]" c="15323.49"/>
              <i n="[Orders].[Sales].&amp;[1.583656E4]" c="15836.56"/>
              <i n="[Orders].[Sales].&amp;[1.70261E4]" c="17026.1"/>
              <i n="[Orders].[Sales].&amp;[1.781613E4]" c="17816.13"/>
              <i n="[Orders].[Sales].&amp;[1.97957E4]" c="19795.7"/>
            </range>
          </ranges>
        </level>
      </levels>
      <selections count="1">
        <selection n="[Orders].[Sale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803BC1-6F05-408B-9A5F-5F9D4886D2A3}" sourceName="[Products].[Category]">
  <pivotTables>
    <pivotTable tabId="2" name="PivotTable4"/>
    <pivotTable tabId="2" name="PivotTable1"/>
    <pivotTable tabId="2" name="PivotTable13"/>
    <pivotTable tabId="2" name="PivotTable14"/>
    <pivotTable tabId="2" name="PivotTable16"/>
    <pivotTable tabId="2" name="PivotTable2"/>
    <pivotTable tabId="2" name="PivotTable3"/>
    <pivotTable tabId="2" name="PivotTable5"/>
    <pivotTable tabId="2" name="PivotTable6"/>
    <pivotTable tabId="2" name="PivotTable17"/>
  </pivotTables>
  <data>
    <olap pivotCacheId="1092562521">
      <levels count="2">
        <level uniqueName="[Products].[Category].[(All)]" sourceCaption="(All)" count="0"/>
        <level uniqueName="[Products].[Category].[Category]" sourceCaption="Category" count="5">
          <ranges>
            <range startItem="0">
              <i n="[Products].[Category].&amp;[Books]" c="Books"/>
              <i n="[Products].[Category].&amp;[Clothing]" c="Clothing"/>
              <i n="[Products].[Category].&amp;[Electronics]" c="Electronics"/>
              <i n="[Products].[Category].&amp;[Furniture]" c="Furniture"/>
              <i n="[Products].[Category].&amp;[Toys]" c="Toys"/>
            </range>
          </ranges>
        </level>
      </levels>
      <selections count="1">
        <selection n="[Products].[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795E0C5C-028A-4E0D-9CB0-292C06E560D2}" sourceName="[Products].[ProductName]">
  <pivotTables>
    <pivotTable tabId="2" name="PivotTable4"/>
    <pivotTable tabId="2" name="PivotTable1"/>
    <pivotTable tabId="2" name="PivotTable13"/>
    <pivotTable tabId="2" name="PivotTable14"/>
    <pivotTable tabId="2" name="PivotTable16"/>
    <pivotTable tabId="2" name="PivotTable2"/>
    <pivotTable tabId="2" name="PivotTable3"/>
    <pivotTable tabId="2" name="PivotTable5"/>
    <pivotTable tabId="2" name="PivotTable6"/>
    <pivotTable tabId="2" name="PivotTable17"/>
  </pivotTables>
  <data>
    <olap pivotCacheId="1092562521">
      <levels count="2">
        <level uniqueName="[Products].[ProductName].[(All)]" sourceCaption="(All)" count="0"/>
        <level uniqueName="[Products].[ProductName].[ProductName]" sourceCaption="ProductName" count="25">
          <ranges>
            <range startItem="0">
              <i n="[Products].[ProductName].&amp;[Ball]" c="Ball"/>
              <i n="[Products].[ProductName].&amp;[Bed]" c="Bed"/>
              <i n="[Products].[ProductName].&amp;[Camera]" c="Camera"/>
              <i n="[Products].[ProductName].&amp;[Car Toy]" c="Car Toy"/>
              <i n="[Products].[ProductName].&amp;[Chair]" c="Chair"/>
              <i n="[Products].[ProductName].&amp;[Comics]" c="Comics"/>
              <i n="[Products].[ProductName].&amp;[Doll]" c="Doll"/>
              <i n="[Products].[ProductName].&amp;[Dress]" c="Dress"/>
              <i n="[Products].[ProductName].&amp;[Headphones]" c="Headphones"/>
              <i n="[Products].[ProductName].&amp;[Jacket]" c="Jacket"/>
              <i n="[Products].[ProductName].&amp;[Laptop]" c="Laptop"/>
              <i n="[Products].[ProductName].&amp;[Lego]" c="Lego"/>
              <i n="[Products].[ProductName].&amp;[Magazine]" c="Magazine"/>
              <i n="[Products].[ProductName].&amp;[Notebook]" c="Notebook"/>
              <i n="[Products].[ProductName].&amp;[Novel]" c="Novel"/>
              <i n="[Products].[ProductName].&amp;[Pants]" c="Pants"/>
              <i n="[Products].[ProductName].&amp;[Phone]" c="Phone"/>
              <i n="[Products].[ProductName].&amp;[Puzzle]" c="Puzzle"/>
              <i n="[Products].[ProductName].&amp;[Shirt]" c="Shirt"/>
              <i n="[Products].[ProductName].&amp;[Shoes]" c="Shoes"/>
              <i n="[Products].[ProductName].&amp;[Sofa]" c="Sofa"/>
              <i n="[Products].[ProductName].&amp;[Table]" c="Table"/>
              <i n="[Products].[ProductName].&amp;[Tablet]" c="Tablet"/>
              <i n="[Products].[ProductName].&amp;[Textbook]" c="Textbook"/>
              <i n="[Products].[ProductName].&amp;[Wardrobe]" c="Wardrobe"/>
            </range>
          </ranges>
        </level>
      </levels>
      <selections count="1">
        <selection n="[Products].[Product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AF031FD9-7076-4CB2-BD38-52C3ACCC3BE9}" sourceName="[Orders].[OrderID]">
  <pivotTables>
    <pivotTable tabId="2" name="PivotTable4"/>
    <pivotTable tabId="2" name="PivotTable1"/>
    <pivotTable tabId="2" name="PivotTable13"/>
    <pivotTable tabId="2" name="PivotTable14"/>
    <pivotTable tabId="2" name="PivotTable16"/>
    <pivotTable tabId="2" name="PivotTable2"/>
    <pivotTable tabId="2" name="PivotTable3"/>
    <pivotTable tabId="2" name="PivotTable5"/>
    <pivotTable tabId="2" name="PivotTable6"/>
    <pivotTable tabId="2" name="PivotTable17"/>
  </pivotTables>
  <data>
    <olap pivotCacheId="634645734">
      <levels count="2">
        <level uniqueName="[Orders].[OrderID].[(All)]" sourceCaption="(All)" count="0"/>
        <level uniqueName="[Orders].[OrderID].[OrderID]" sourceCaption="OrderID" count="19586">
          <ranges>
            <range startItem="0">
              <i n="[Orders].[OrderID].&amp;[1]" c="1"/>
              <i n="[Orders].[OrderID].&amp;[2]" c="2"/>
              <i n="[Orders].[OrderID].&amp;[3]" c="3"/>
              <i n="[Orders].[OrderID].&amp;[4]" c="4"/>
              <i n="[Orders].[OrderID].&amp;[5]" c="5"/>
              <i n="[Orders].[OrderID].&amp;[6]" c="6"/>
              <i n="[Orders].[OrderID].&amp;[7]" c="7"/>
              <i n="[Orders].[OrderID].&amp;[8]" c="8"/>
              <i n="[Orders].[OrderID].&amp;[9]" c="9"/>
              <i n="[Orders].[OrderID].&amp;[10]" c="10"/>
              <i n="[Orders].[OrderID].&amp;[11]" c="11"/>
              <i n="[Orders].[OrderID].&amp;[12]" c="12"/>
              <i n="[Orders].[OrderID].&amp;[13]" c="13"/>
              <i n="[Orders].[OrderID].&amp;[14]" c="14"/>
              <i n="[Orders].[OrderID].&amp;[15]" c="15"/>
              <i n="[Orders].[OrderID].&amp;[16]" c="16"/>
              <i n="[Orders].[OrderID].&amp;[17]" c="17"/>
              <i n="[Orders].[OrderID].&amp;[18]" c="18"/>
              <i n="[Orders].[OrderID].&amp;[19]" c="19"/>
              <i n="[Orders].[OrderID].&amp;[20]" c="20"/>
              <i n="[Orders].[OrderID].&amp;[21]" c="21"/>
              <i n="[Orders].[OrderID].&amp;[22]" c="22"/>
              <i n="[Orders].[OrderID].&amp;[23]" c="23"/>
              <i n="[Orders].[OrderID].&amp;[24]" c="24"/>
              <i n="[Orders].[OrderID].&amp;[25]" c="25"/>
              <i n="[Orders].[OrderID].&amp;[26]" c="26"/>
              <i n="[Orders].[OrderID].&amp;[27]" c="27"/>
              <i n="[Orders].[OrderID].&amp;[28]" c="28"/>
              <i n="[Orders].[OrderID].&amp;[29]" c="29"/>
              <i n="[Orders].[OrderID].&amp;[30]" c="30"/>
              <i n="[Orders].[OrderID].&amp;[31]" c="31"/>
              <i n="[Orders].[OrderID].&amp;[32]" c="32"/>
              <i n="[Orders].[OrderID].&amp;[33]" c="33"/>
              <i n="[Orders].[OrderID].&amp;[34]" c="34"/>
              <i n="[Orders].[OrderID].&amp;[35]" c="35"/>
              <i n="[Orders].[OrderID].&amp;[36]" c="36"/>
              <i n="[Orders].[OrderID].&amp;[37]" c="37"/>
              <i n="[Orders].[OrderID].&amp;[38]" c="38"/>
              <i n="[Orders].[OrderID].&amp;[39]" c="39"/>
              <i n="[Orders].[OrderID].&amp;[40]" c="40"/>
              <i n="[Orders].[OrderID].&amp;[41]" c="41"/>
              <i n="[Orders].[OrderID].&amp;[42]" c="42"/>
              <i n="[Orders].[OrderID].&amp;[43]" c="43"/>
              <i n="[Orders].[OrderID].&amp;[44]" c="44"/>
              <i n="[Orders].[OrderID].&amp;[45]" c="45"/>
              <i n="[Orders].[OrderID].&amp;[46]" c="46"/>
              <i n="[Orders].[OrderID].&amp;[47]" c="47"/>
              <i n="[Orders].[OrderID].&amp;[48]" c="48"/>
              <i n="[Orders].[OrderID].&amp;[49]" c="49"/>
              <i n="[Orders].[OrderID].&amp;[50]" c="50"/>
              <i n="[Orders].[OrderID].&amp;[51]" c="51"/>
              <i n="[Orders].[OrderID].&amp;[52]" c="52"/>
              <i n="[Orders].[OrderID].&amp;[53]" c="53"/>
              <i n="[Orders].[OrderID].&amp;[54]" c="54"/>
              <i n="[Orders].[OrderID].&amp;[55]" c="55"/>
              <i n="[Orders].[OrderID].&amp;[56]" c="56"/>
              <i n="[Orders].[OrderID].&amp;[57]" c="57"/>
              <i n="[Orders].[OrderID].&amp;[58]" c="58"/>
              <i n="[Orders].[OrderID].&amp;[59]" c="59"/>
              <i n="[Orders].[OrderID].&amp;[60]" c="60"/>
              <i n="[Orders].[OrderID].&amp;[61]" c="61"/>
              <i n="[Orders].[OrderID].&amp;[62]" c="62"/>
              <i n="[Orders].[OrderID].&amp;[63]" c="63"/>
              <i n="[Orders].[OrderID].&amp;[64]" c="64"/>
              <i n="[Orders].[OrderID].&amp;[65]" c="65"/>
              <i n="[Orders].[OrderID].&amp;[66]" c="66"/>
              <i n="[Orders].[OrderID].&amp;[67]" c="67"/>
              <i n="[Orders].[OrderID].&amp;[68]" c="68"/>
              <i n="[Orders].[OrderID].&amp;[69]" c="69"/>
              <i n="[Orders].[OrderID].&amp;[70]" c="70"/>
              <i n="[Orders].[OrderID].&amp;[71]" c="71"/>
              <i n="[Orders].[OrderID].&amp;[72]" c="72"/>
              <i n="[Orders].[OrderID].&amp;[73]" c="73"/>
              <i n="[Orders].[OrderID].&amp;[74]" c="74"/>
              <i n="[Orders].[OrderID].&amp;[75]" c="75"/>
              <i n="[Orders].[OrderID].&amp;[76]" c="76"/>
              <i n="[Orders].[OrderID].&amp;[77]" c="77"/>
              <i n="[Orders].[OrderID].&amp;[78]" c="78"/>
              <i n="[Orders].[OrderID].&amp;[79]" c="79"/>
              <i n="[Orders].[OrderID].&amp;[80]" c="80"/>
              <i n="[Orders].[OrderID].&amp;[81]" c="81"/>
              <i n="[Orders].[OrderID].&amp;[82]" c="82"/>
              <i n="[Orders].[OrderID].&amp;[83]" c="83"/>
              <i n="[Orders].[OrderID].&amp;[84]" c="84"/>
              <i n="[Orders].[OrderID].&amp;[85]" c="85"/>
              <i n="[Orders].[OrderID].&amp;[86]" c="86"/>
              <i n="[Orders].[OrderID].&amp;[87]" c="87"/>
              <i n="[Orders].[OrderID].&amp;[88]" c="88"/>
              <i n="[Orders].[OrderID].&amp;[89]" c="89"/>
              <i n="[Orders].[OrderID].&amp;[90]" c="90"/>
              <i n="[Orders].[OrderID].&amp;[91]" c="91"/>
              <i n="[Orders].[OrderID].&amp;[92]" c="92"/>
              <i n="[Orders].[OrderID].&amp;[93]" c="93"/>
              <i n="[Orders].[OrderID].&amp;[94]" c="94"/>
              <i n="[Orders].[OrderID].&amp;[95]" c="95"/>
              <i n="[Orders].[OrderID].&amp;[96]" c="96"/>
              <i n="[Orders].[OrderID].&amp;[97]" c="97"/>
              <i n="[Orders].[OrderID].&amp;[98]" c="98"/>
              <i n="[Orders].[OrderID].&amp;[99]" c="99"/>
              <i n="[Orders].[OrderID].&amp;[100]" c="100"/>
              <i n="[Orders].[OrderID].&amp;[101]" c="101"/>
              <i n="[Orders].[OrderID].&amp;[102]" c="102"/>
              <i n="[Orders].[OrderID].&amp;[103]" c="103"/>
              <i n="[Orders].[OrderID].&amp;[104]" c="104"/>
              <i n="[Orders].[OrderID].&amp;[105]" c="105"/>
              <i n="[Orders].[OrderID].&amp;[106]" c="106"/>
              <i n="[Orders].[OrderID].&amp;[107]" c="107"/>
              <i n="[Orders].[OrderID].&amp;[108]" c="108"/>
              <i n="[Orders].[OrderID].&amp;[109]" c="109"/>
              <i n="[Orders].[OrderID].&amp;[110]" c="110"/>
              <i n="[Orders].[OrderID].&amp;[111]" c="111"/>
              <i n="[Orders].[OrderID].&amp;[112]" c="112"/>
              <i n="[Orders].[OrderID].&amp;[113]" c="113"/>
              <i n="[Orders].[OrderID].&amp;[114]" c="114"/>
              <i n="[Orders].[OrderID].&amp;[115]" c="115"/>
              <i n="[Orders].[OrderID].&amp;[116]" c="116"/>
              <i n="[Orders].[OrderID].&amp;[117]" c="117"/>
              <i n="[Orders].[OrderID].&amp;[118]" c="118"/>
              <i n="[Orders].[OrderID].&amp;[119]" c="119"/>
              <i n="[Orders].[OrderID].&amp;[120]" c="120"/>
              <i n="[Orders].[OrderID].&amp;[121]" c="121"/>
              <i n="[Orders].[OrderID].&amp;[122]" c="122"/>
              <i n="[Orders].[OrderID].&amp;[123]" c="123"/>
              <i n="[Orders].[OrderID].&amp;[124]" c="124"/>
              <i n="[Orders].[OrderID].&amp;[125]" c="125"/>
              <i n="[Orders].[OrderID].&amp;[126]" c="126"/>
              <i n="[Orders].[OrderID].&amp;[127]" c="127"/>
              <i n="[Orders].[OrderID].&amp;[128]" c="128"/>
              <i n="[Orders].[OrderID].&amp;[129]" c="129"/>
              <i n="[Orders].[OrderID].&amp;[130]" c="130"/>
              <i n="[Orders].[OrderID].&amp;[131]" c="131"/>
              <i n="[Orders].[OrderID].&amp;[132]" c="132"/>
              <i n="[Orders].[OrderID].&amp;[133]" c="133"/>
              <i n="[Orders].[OrderID].&amp;[134]" c="134"/>
              <i n="[Orders].[OrderID].&amp;[135]" c="135"/>
              <i n="[Orders].[OrderID].&amp;[136]" c="136"/>
              <i n="[Orders].[OrderID].&amp;[137]" c="137"/>
              <i n="[Orders].[OrderID].&amp;[138]" c="138"/>
              <i n="[Orders].[OrderID].&amp;[139]" c="139"/>
              <i n="[Orders].[OrderID].&amp;[140]" c="140"/>
              <i n="[Orders].[OrderID].&amp;[141]" c="141"/>
              <i n="[Orders].[OrderID].&amp;[142]" c="142"/>
              <i n="[Orders].[OrderID].&amp;[143]" c="143"/>
              <i n="[Orders].[OrderID].&amp;[144]" c="144"/>
              <i n="[Orders].[OrderID].&amp;[145]" c="145"/>
              <i n="[Orders].[OrderID].&amp;[146]" c="146"/>
              <i n="[Orders].[OrderID].&amp;[147]" c="147"/>
              <i n="[Orders].[OrderID].&amp;[148]" c="148"/>
              <i n="[Orders].[OrderID].&amp;[149]" c="149"/>
              <i n="[Orders].[OrderID].&amp;[150]" c="150"/>
              <i n="[Orders].[OrderID].&amp;[151]" c="151"/>
              <i n="[Orders].[OrderID].&amp;[152]" c="152"/>
              <i n="[Orders].[OrderID].&amp;[153]" c="153"/>
              <i n="[Orders].[OrderID].&amp;[154]" c="154"/>
              <i n="[Orders].[OrderID].&amp;[155]" c="155"/>
              <i n="[Orders].[OrderID].&amp;[156]" c="156"/>
              <i n="[Orders].[OrderID].&amp;[157]" c="157"/>
              <i n="[Orders].[OrderID].&amp;[158]" c="158"/>
              <i n="[Orders].[OrderID].&amp;[160]" c="160"/>
              <i n="[Orders].[OrderID].&amp;[161]" c="161"/>
              <i n="[Orders].[OrderID].&amp;[162]" c="162"/>
              <i n="[Orders].[OrderID].&amp;[163]" c="163"/>
              <i n="[Orders].[OrderID].&amp;[164]" c="164"/>
              <i n="[Orders].[OrderID].&amp;[165]" c="165"/>
              <i n="[Orders].[OrderID].&amp;[166]" c="166"/>
              <i n="[Orders].[OrderID].&amp;[167]" c="167"/>
              <i n="[Orders].[OrderID].&amp;[168]" c="168"/>
              <i n="[Orders].[OrderID].&amp;[169]" c="169"/>
              <i n="[Orders].[OrderID].&amp;[170]" c="170"/>
              <i n="[Orders].[OrderID].&amp;[171]" c="171"/>
              <i n="[Orders].[OrderID].&amp;[172]" c="172"/>
              <i n="[Orders].[OrderID].&amp;[173]" c="173"/>
              <i n="[Orders].[OrderID].&amp;[174]" c="174"/>
              <i n="[Orders].[OrderID].&amp;[175]" c="175"/>
              <i n="[Orders].[OrderID].&amp;[176]" c="176"/>
              <i n="[Orders].[OrderID].&amp;[177]" c="177"/>
              <i n="[Orders].[OrderID].&amp;[178]" c="178"/>
              <i n="[Orders].[OrderID].&amp;[179]" c="179"/>
              <i n="[Orders].[OrderID].&amp;[180]" c="180"/>
              <i n="[Orders].[OrderID].&amp;[181]" c="181"/>
              <i n="[Orders].[OrderID].&amp;[182]" c="182"/>
              <i n="[Orders].[OrderID].&amp;[183]" c="183"/>
              <i n="[Orders].[OrderID].&amp;[184]" c="184"/>
              <i n="[Orders].[OrderID].&amp;[185]" c="185"/>
              <i n="[Orders].[OrderID].&amp;[186]" c="186"/>
              <i n="[Orders].[OrderID].&amp;[187]" c="187"/>
              <i n="[Orders].[OrderID].&amp;[188]" c="188"/>
              <i n="[Orders].[OrderID].&amp;[189]" c="189"/>
              <i n="[Orders].[OrderID].&amp;[190]" c="190"/>
              <i n="[Orders].[OrderID].&amp;[191]" c="191"/>
              <i n="[Orders].[OrderID].&amp;[192]" c="192"/>
              <i n="[Orders].[OrderID].&amp;[193]" c="193"/>
              <i n="[Orders].[OrderID].&amp;[194]" c="194"/>
              <i n="[Orders].[OrderID].&amp;[195]" c="195"/>
              <i n="[Orders].[OrderID].&amp;[196]" c="196"/>
              <i n="[Orders].[OrderID].&amp;[197]" c="197"/>
              <i n="[Orders].[OrderID].&amp;[198]" c="198"/>
              <i n="[Orders].[OrderID].&amp;[200]" c="200"/>
              <i n="[Orders].[OrderID].&amp;[201]" c="201"/>
              <i n="[Orders].[OrderID].&amp;[202]" c="202"/>
              <i n="[Orders].[OrderID].&amp;[203]" c="203"/>
              <i n="[Orders].[OrderID].&amp;[204]" c="204"/>
              <i n="[Orders].[OrderID].&amp;[205]" c="205"/>
              <i n="[Orders].[OrderID].&amp;[206]" c="206"/>
              <i n="[Orders].[OrderID].&amp;[207]" c="207"/>
              <i n="[Orders].[OrderID].&amp;[208]" c="208"/>
              <i n="[Orders].[OrderID].&amp;[209]" c="209"/>
              <i n="[Orders].[OrderID].&amp;[210]" c="210"/>
              <i n="[Orders].[OrderID].&amp;[211]" c="211"/>
              <i n="[Orders].[OrderID].&amp;[212]" c="212"/>
              <i n="[Orders].[OrderID].&amp;[213]" c="213"/>
              <i n="[Orders].[OrderID].&amp;[214]" c="214"/>
              <i n="[Orders].[OrderID].&amp;[215]" c="215"/>
              <i n="[Orders].[OrderID].&amp;[216]" c="216"/>
              <i n="[Orders].[OrderID].&amp;[217]" c="217"/>
              <i n="[Orders].[OrderID].&amp;[218]" c="218"/>
              <i n="[Orders].[OrderID].&amp;[219]" c="219"/>
              <i n="[Orders].[OrderID].&amp;[220]" c="220"/>
              <i n="[Orders].[OrderID].&amp;[221]" c="221"/>
              <i n="[Orders].[OrderID].&amp;[222]" c="222"/>
              <i n="[Orders].[OrderID].&amp;[223]" c="223"/>
              <i n="[Orders].[OrderID].&amp;[224]" c="224"/>
              <i n="[Orders].[OrderID].&amp;[225]" c="225"/>
              <i n="[Orders].[OrderID].&amp;[226]" c="226"/>
              <i n="[Orders].[OrderID].&amp;[227]" c="227"/>
              <i n="[Orders].[OrderID].&amp;[228]" c="228"/>
              <i n="[Orders].[OrderID].&amp;[229]" c="229"/>
              <i n="[Orders].[OrderID].&amp;[230]" c="230"/>
              <i n="[Orders].[OrderID].&amp;[231]" c="231"/>
              <i n="[Orders].[OrderID].&amp;[232]" c="232"/>
              <i n="[Orders].[OrderID].&amp;[233]" c="233"/>
              <i n="[Orders].[OrderID].&amp;[234]" c="234"/>
              <i n="[Orders].[OrderID].&amp;[235]" c="235"/>
              <i n="[Orders].[OrderID].&amp;[236]" c="236"/>
              <i n="[Orders].[OrderID].&amp;[237]" c="237"/>
              <i n="[Orders].[OrderID].&amp;[238]" c="238"/>
              <i n="[Orders].[OrderID].&amp;[239]" c="239"/>
              <i n="[Orders].[OrderID].&amp;[240]" c="240"/>
              <i n="[Orders].[OrderID].&amp;[241]" c="241"/>
              <i n="[Orders].[OrderID].&amp;[242]" c="242"/>
              <i n="[Orders].[OrderID].&amp;[243]" c="243"/>
              <i n="[Orders].[OrderID].&amp;[244]" c="244"/>
              <i n="[Orders].[OrderID].&amp;[245]" c="245"/>
              <i n="[Orders].[OrderID].&amp;[246]" c="246"/>
              <i n="[Orders].[OrderID].&amp;[247]" c="247"/>
              <i n="[Orders].[OrderID].&amp;[248]" c="248"/>
              <i n="[Orders].[OrderID].&amp;[249]" c="249"/>
              <i n="[Orders].[OrderID].&amp;[250]" c="250"/>
              <i n="[Orders].[OrderID].&amp;[251]" c="251"/>
              <i n="[Orders].[OrderID].&amp;[252]" c="252"/>
              <i n="[Orders].[OrderID].&amp;[253]" c="253"/>
              <i n="[Orders].[OrderID].&amp;[254]" c="254"/>
              <i n="[Orders].[OrderID].&amp;[255]" c="255"/>
              <i n="[Orders].[OrderID].&amp;[256]" c="256"/>
              <i n="[Orders].[OrderID].&amp;[257]" c="257"/>
              <i n="[Orders].[OrderID].&amp;[258]" c="258"/>
              <i n="[Orders].[OrderID].&amp;[259]" c="259"/>
              <i n="[Orders].[OrderID].&amp;[260]" c="260"/>
              <i n="[Orders].[OrderID].&amp;[261]" c="261"/>
              <i n="[Orders].[OrderID].&amp;[262]" c="262"/>
              <i n="[Orders].[OrderID].&amp;[263]" c="263"/>
              <i n="[Orders].[OrderID].&amp;[264]" c="264"/>
              <i n="[Orders].[OrderID].&amp;[265]" c="265"/>
              <i n="[Orders].[OrderID].&amp;[266]" c="266"/>
              <i n="[Orders].[OrderID].&amp;[267]" c="267"/>
              <i n="[Orders].[OrderID].&amp;[268]" c="268"/>
              <i n="[Orders].[OrderID].&amp;[269]" c="269"/>
              <i n="[Orders].[OrderID].&amp;[270]" c="270"/>
              <i n="[Orders].[OrderID].&amp;[271]" c="271"/>
              <i n="[Orders].[OrderID].&amp;[272]" c="272"/>
              <i n="[Orders].[OrderID].&amp;[273]" c="273"/>
              <i n="[Orders].[OrderID].&amp;[274]" c="274"/>
              <i n="[Orders].[OrderID].&amp;[275]" c="275"/>
              <i n="[Orders].[OrderID].&amp;[276]" c="276"/>
              <i n="[Orders].[OrderID].&amp;[277]" c="277"/>
              <i n="[Orders].[OrderID].&amp;[278]" c="278"/>
              <i n="[Orders].[OrderID].&amp;[279]" c="279"/>
              <i n="[Orders].[OrderID].&amp;[280]" c="280"/>
              <i n="[Orders].[OrderID].&amp;[281]" c="281"/>
              <i n="[Orders].[OrderID].&amp;[282]" c="282"/>
              <i n="[Orders].[OrderID].&amp;[283]" c="283"/>
              <i n="[Orders].[OrderID].&amp;[284]" c="284"/>
              <i n="[Orders].[OrderID].&amp;[285]" c="285"/>
              <i n="[Orders].[OrderID].&amp;[286]" c="286"/>
              <i n="[Orders].[OrderID].&amp;[287]" c="287"/>
              <i n="[Orders].[OrderID].&amp;[288]" c="288"/>
              <i n="[Orders].[OrderID].&amp;[289]" c="289"/>
              <i n="[Orders].[OrderID].&amp;[290]" c="290"/>
              <i n="[Orders].[OrderID].&amp;[291]" c="291"/>
              <i n="[Orders].[OrderID].&amp;[292]" c="292"/>
              <i n="[Orders].[OrderID].&amp;[293]" c="293"/>
              <i n="[Orders].[OrderID].&amp;[294]" c="294"/>
              <i n="[Orders].[OrderID].&amp;[295]" c="295"/>
              <i n="[Orders].[OrderID].&amp;[296]" c="296"/>
              <i n="[Orders].[OrderID].&amp;[297]" c="297"/>
              <i n="[Orders].[OrderID].&amp;[298]" c="298"/>
              <i n="[Orders].[OrderID].&amp;[299]" c="299"/>
              <i n="[Orders].[OrderID].&amp;[300]" c="300"/>
              <i n="[Orders].[OrderID].&amp;[301]" c="301"/>
              <i n="[Orders].[OrderID].&amp;[302]" c="302"/>
              <i n="[Orders].[OrderID].&amp;[303]" c="303"/>
              <i n="[Orders].[OrderID].&amp;[305]" c="305"/>
              <i n="[Orders].[OrderID].&amp;[306]" c="306"/>
              <i n="[Orders].[OrderID].&amp;[307]" c="307"/>
              <i n="[Orders].[OrderID].&amp;[308]" c="308"/>
              <i n="[Orders].[OrderID].&amp;[309]" c="309"/>
              <i n="[Orders].[OrderID].&amp;[310]" c="310"/>
              <i n="[Orders].[OrderID].&amp;[311]" c="311"/>
              <i n="[Orders].[OrderID].&amp;[312]" c="312"/>
              <i n="[Orders].[OrderID].&amp;[313]" c="313"/>
              <i n="[Orders].[OrderID].&amp;[314]" c="314"/>
              <i n="[Orders].[OrderID].&amp;[315]" c="315"/>
              <i n="[Orders].[OrderID].&amp;[316]" c="316"/>
              <i n="[Orders].[OrderID].&amp;[317]" c="317"/>
              <i n="[Orders].[OrderID].&amp;[318]" c="318"/>
              <i n="[Orders].[OrderID].&amp;[319]" c="319"/>
              <i n="[Orders].[OrderID].&amp;[320]" c="320"/>
              <i n="[Orders].[OrderID].&amp;[321]" c="321"/>
              <i n="[Orders].[OrderID].&amp;[323]" c="323"/>
              <i n="[Orders].[OrderID].&amp;[324]" c="324"/>
              <i n="[Orders].[OrderID].&amp;[325]" c="325"/>
              <i n="[Orders].[OrderID].&amp;[326]" c="326"/>
              <i n="[Orders].[OrderID].&amp;[327]" c="327"/>
              <i n="[Orders].[OrderID].&amp;[328]" c="328"/>
              <i n="[Orders].[OrderID].&amp;[329]" c="329"/>
              <i n="[Orders].[OrderID].&amp;[330]" c="330"/>
              <i n="[Orders].[OrderID].&amp;[331]" c="331"/>
              <i n="[Orders].[OrderID].&amp;[332]" c="332"/>
              <i n="[Orders].[OrderID].&amp;[333]" c="333"/>
              <i n="[Orders].[OrderID].&amp;[334]" c="334"/>
              <i n="[Orders].[OrderID].&amp;[335]" c="335"/>
              <i n="[Orders].[OrderID].&amp;[336]" c="336"/>
              <i n="[Orders].[OrderID].&amp;[337]" c="337"/>
              <i n="[Orders].[OrderID].&amp;[338]" c="338"/>
              <i n="[Orders].[OrderID].&amp;[339]" c="339"/>
              <i n="[Orders].[OrderID].&amp;[340]" c="340"/>
              <i n="[Orders].[OrderID].&amp;[341]" c="341"/>
              <i n="[Orders].[OrderID].&amp;[342]" c="342"/>
              <i n="[Orders].[OrderID].&amp;[343]" c="343"/>
              <i n="[Orders].[OrderID].&amp;[344]" c="344"/>
              <i n="[Orders].[OrderID].&amp;[345]" c="345"/>
              <i n="[Orders].[OrderID].&amp;[346]" c="346"/>
              <i n="[Orders].[OrderID].&amp;[347]" c="347"/>
              <i n="[Orders].[OrderID].&amp;[348]" c="348"/>
              <i n="[Orders].[OrderID].&amp;[349]" c="349"/>
              <i n="[Orders].[OrderID].&amp;[350]" c="350"/>
              <i n="[Orders].[OrderID].&amp;[351]" c="351"/>
              <i n="[Orders].[OrderID].&amp;[352]" c="352"/>
              <i n="[Orders].[OrderID].&amp;[353]" c="353"/>
              <i n="[Orders].[OrderID].&amp;[354]" c="354"/>
              <i n="[Orders].[OrderID].&amp;[355]" c="355"/>
              <i n="[Orders].[OrderID].&amp;[356]" c="356"/>
              <i n="[Orders].[OrderID].&amp;[357]" c="357"/>
              <i n="[Orders].[OrderID].&amp;[358]" c="358"/>
              <i n="[Orders].[OrderID].&amp;[359]" c="359"/>
              <i n="[Orders].[OrderID].&amp;[360]" c="360"/>
              <i n="[Orders].[OrderID].&amp;[361]" c="361"/>
              <i n="[Orders].[OrderID].&amp;[362]" c="362"/>
              <i n="[Orders].[OrderID].&amp;[363]" c="363"/>
              <i n="[Orders].[OrderID].&amp;[364]" c="364"/>
              <i n="[Orders].[OrderID].&amp;[365]" c="365"/>
              <i n="[Orders].[OrderID].&amp;[366]" c="366"/>
              <i n="[Orders].[OrderID].&amp;[367]" c="367"/>
              <i n="[Orders].[OrderID].&amp;[368]" c="368"/>
              <i n="[Orders].[OrderID].&amp;[369]" c="369"/>
              <i n="[Orders].[OrderID].&amp;[370]" c="370"/>
              <i n="[Orders].[OrderID].&amp;[371]" c="371"/>
              <i n="[Orders].[OrderID].&amp;[372]" c="372"/>
              <i n="[Orders].[OrderID].&amp;[373]" c="373"/>
              <i n="[Orders].[OrderID].&amp;[374]" c="374"/>
              <i n="[Orders].[OrderID].&amp;[375]" c="375"/>
              <i n="[Orders].[OrderID].&amp;[376]" c="376"/>
              <i n="[Orders].[OrderID].&amp;[377]" c="377"/>
              <i n="[Orders].[OrderID].&amp;[378]" c="378"/>
              <i n="[Orders].[OrderID].&amp;[379]" c="379"/>
              <i n="[Orders].[OrderID].&amp;[380]" c="380"/>
              <i n="[Orders].[OrderID].&amp;[381]" c="381"/>
              <i n="[Orders].[OrderID].&amp;[382]" c="382"/>
              <i n="[Orders].[OrderID].&amp;[383]" c="383"/>
              <i n="[Orders].[OrderID].&amp;[384]" c="384"/>
              <i n="[Orders].[OrderID].&amp;[385]" c="385"/>
              <i n="[Orders].[OrderID].&amp;[386]" c="386"/>
              <i n="[Orders].[OrderID].&amp;[387]" c="387"/>
              <i n="[Orders].[OrderID].&amp;[388]" c="388"/>
              <i n="[Orders].[OrderID].&amp;[389]" c="389"/>
              <i n="[Orders].[OrderID].&amp;[390]" c="390"/>
              <i n="[Orders].[OrderID].&amp;[391]" c="391"/>
              <i n="[Orders].[OrderID].&amp;[392]" c="392"/>
              <i n="[Orders].[OrderID].&amp;[393]" c="393"/>
              <i n="[Orders].[OrderID].&amp;[394]" c="394"/>
              <i n="[Orders].[OrderID].&amp;[395]" c="395"/>
              <i n="[Orders].[OrderID].&amp;[396]" c="396"/>
              <i n="[Orders].[OrderID].&amp;[397]" c="397"/>
              <i n="[Orders].[OrderID].&amp;[398]" c="398"/>
              <i n="[Orders].[OrderID].&amp;[399]" c="399"/>
              <i n="[Orders].[OrderID].&amp;[400]" c="400"/>
              <i n="[Orders].[OrderID].&amp;[401]" c="401"/>
              <i n="[Orders].[OrderID].&amp;[402]" c="402"/>
              <i n="[Orders].[OrderID].&amp;[403]" c="403"/>
              <i n="[Orders].[OrderID].&amp;[404]" c="404"/>
              <i n="[Orders].[OrderID].&amp;[405]" c="405"/>
              <i n="[Orders].[OrderID].&amp;[406]" c="406"/>
              <i n="[Orders].[OrderID].&amp;[407]" c="407"/>
              <i n="[Orders].[OrderID].&amp;[408]" c="408"/>
              <i n="[Orders].[OrderID].&amp;[409]" c="409"/>
              <i n="[Orders].[OrderID].&amp;[410]" c="410"/>
              <i n="[Orders].[OrderID].&amp;[411]" c="411"/>
              <i n="[Orders].[OrderID].&amp;[412]" c="412"/>
              <i n="[Orders].[OrderID].&amp;[413]" c="413"/>
              <i n="[Orders].[OrderID].&amp;[414]" c="414"/>
              <i n="[Orders].[OrderID].&amp;[415]" c="415"/>
              <i n="[Orders].[OrderID].&amp;[416]" c="416"/>
              <i n="[Orders].[OrderID].&amp;[417]" c="417"/>
              <i n="[Orders].[OrderID].&amp;[418]" c="418"/>
              <i n="[Orders].[OrderID].&amp;[419]" c="419"/>
              <i n="[Orders].[OrderID].&amp;[420]" c="420"/>
              <i n="[Orders].[OrderID].&amp;[421]" c="421"/>
              <i n="[Orders].[OrderID].&amp;[422]" c="422"/>
              <i n="[Orders].[OrderID].&amp;[423]" c="423"/>
              <i n="[Orders].[OrderID].&amp;[424]" c="424"/>
              <i n="[Orders].[OrderID].&amp;[425]" c="425"/>
              <i n="[Orders].[OrderID].&amp;[426]" c="426"/>
              <i n="[Orders].[OrderID].&amp;[427]" c="427"/>
              <i n="[Orders].[OrderID].&amp;[428]" c="428"/>
              <i n="[Orders].[OrderID].&amp;[429]" c="429"/>
              <i n="[Orders].[OrderID].&amp;[430]" c="430"/>
              <i n="[Orders].[OrderID].&amp;[431]" c="431"/>
              <i n="[Orders].[OrderID].&amp;[432]" c="432"/>
              <i n="[Orders].[OrderID].&amp;[433]" c="433"/>
              <i n="[Orders].[OrderID].&amp;[434]" c="434"/>
              <i n="[Orders].[OrderID].&amp;[435]" c="435"/>
              <i n="[Orders].[OrderID].&amp;[436]" c="436"/>
              <i n="[Orders].[OrderID].&amp;[437]" c="437"/>
              <i n="[Orders].[OrderID].&amp;[439]" c="439"/>
              <i n="[Orders].[OrderID].&amp;[441]" c="441"/>
              <i n="[Orders].[OrderID].&amp;[442]" c="442"/>
              <i n="[Orders].[OrderID].&amp;[443]" c="443"/>
              <i n="[Orders].[OrderID].&amp;[444]" c="444"/>
              <i n="[Orders].[OrderID].&amp;[445]" c="445"/>
              <i n="[Orders].[OrderID].&amp;[446]" c="446"/>
              <i n="[Orders].[OrderID].&amp;[447]" c="447"/>
              <i n="[Orders].[OrderID].&amp;[448]" c="448"/>
              <i n="[Orders].[OrderID].&amp;[449]" c="449"/>
              <i n="[Orders].[OrderID].&amp;[450]" c="450"/>
              <i n="[Orders].[OrderID].&amp;[451]" c="451"/>
              <i n="[Orders].[OrderID].&amp;[452]" c="452"/>
              <i n="[Orders].[OrderID].&amp;[453]" c="453"/>
              <i n="[Orders].[OrderID].&amp;[454]" c="454"/>
              <i n="[Orders].[OrderID].&amp;[455]" c="455"/>
              <i n="[Orders].[OrderID].&amp;[456]" c="456"/>
              <i n="[Orders].[OrderID].&amp;[457]" c="457"/>
              <i n="[Orders].[OrderID].&amp;[458]" c="458"/>
              <i n="[Orders].[OrderID].&amp;[459]" c="459"/>
              <i n="[Orders].[OrderID].&amp;[460]" c="460"/>
              <i n="[Orders].[OrderID].&amp;[461]" c="461"/>
              <i n="[Orders].[OrderID].&amp;[462]" c="462"/>
              <i n="[Orders].[OrderID].&amp;[463]" c="463"/>
              <i n="[Orders].[OrderID].&amp;[464]" c="464"/>
              <i n="[Orders].[OrderID].&amp;[465]" c="465"/>
              <i n="[Orders].[OrderID].&amp;[466]" c="466"/>
              <i n="[Orders].[OrderID].&amp;[467]" c="467"/>
              <i n="[Orders].[OrderID].&amp;[468]" c="468"/>
              <i n="[Orders].[OrderID].&amp;[469]" c="469"/>
              <i n="[Orders].[OrderID].&amp;[470]" c="470"/>
              <i n="[Orders].[OrderID].&amp;[471]" c="471"/>
              <i n="[Orders].[OrderID].&amp;[472]" c="472"/>
              <i n="[Orders].[OrderID].&amp;[473]" c="473"/>
              <i n="[Orders].[OrderID].&amp;[474]" c="474"/>
              <i n="[Orders].[OrderID].&amp;[475]" c="475"/>
              <i n="[Orders].[OrderID].&amp;[476]" c="476"/>
              <i n="[Orders].[OrderID].&amp;[477]" c="477"/>
              <i n="[Orders].[OrderID].&amp;[478]" c="478"/>
              <i n="[Orders].[OrderID].&amp;[479]" c="479"/>
              <i n="[Orders].[OrderID].&amp;[480]" c="480"/>
              <i n="[Orders].[OrderID].&amp;[481]" c="481"/>
              <i n="[Orders].[OrderID].&amp;[482]" c="482"/>
              <i n="[Orders].[OrderID].&amp;[483]" c="483"/>
              <i n="[Orders].[OrderID].&amp;[484]" c="484"/>
              <i n="[Orders].[OrderID].&amp;[485]" c="485"/>
              <i n="[Orders].[OrderID].&amp;[486]" c="486"/>
              <i n="[Orders].[OrderID].&amp;[487]" c="487"/>
              <i n="[Orders].[OrderID].&amp;[488]" c="488"/>
              <i n="[Orders].[OrderID].&amp;[489]" c="489"/>
              <i n="[Orders].[OrderID].&amp;[490]" c="490"/>
              <i n="[Orders].[OrderID].&amp;[491]" c="491"/>
              <i n="[Orders].[OrderID].&amp;[492]" c="492"/>
              <i n="[Orders].[OrderID].&amp;[494]" c="494"/>
              <i n="[Orders].[OrderID].&amp;[495]" c="495"/>
              <i n="[Orders].[OrderID].&amp;[496]" c="496"/>
              <i n="[Orders].[OrderID].&amp;[497]" c="497"/>
              <i n="[Orders].[OrderID].&amp;[498]" c="498"/>
              <i n="[Orders].[OrderID].&amp;[499]" c="499"/>
              <i n="[Orders].[OrderID].&amp;[500]" c="500"/>
              <i n="[Orders].[OrderID].&amp;[501]" c="501"/>
              <i n="[Orders].[OrderID].&amp;[502]" c="502"/>
              <i n="[Orders].[OrderID].&amp;[503]" c="503"/>
              <i n="[Orders].[OrderID].&amp;[504]" c="504"/>
              <i n="[Orders].[OrderID].&amp;[505]" c="505"/>
              <i n="[Orders].[OrderID].&amp;[506]" c="506"/>
              <i n="[Orders].[OrderID].&amp;[507]" c="507"/>
              <i n="[Orders].[OrderID].&amp;[508]" c="508"/>
              <i n="[Orders].[OrderID].&amp;[509]" c="509"/>
              <i n="[Orders].[OrderID].&amp;[510]" c="510"/>
              <i n="[Orders].[OrderID].&amp;[511]" c="511"/>
              <i n="[Orders].[OrderID].&amp;[512]" c="512"/>
              <i n="[Orders].[OrderID].&amp;[513]" c="513"/>
              <i n="[Orders].[OrderID].&amp;[514]" c="514"/>
              <i n="[Orders].[OrderID].&amp;[515]" c="515"/>
              <i n="[Orders].[OrderID].&amp;[516]" c="516"/>
              <i n="[Orders].[OrderID].&amp;[517]" c="517"/>
              <i n="[Orders].[OrderID].&amp;[518]" c="518"/>
              <i n="[Orders].[OrderID].&amp;[519]" c="519"/>
              <i n="[Orders].[OrderID].&amp;[520]" c="520"/>
              <i n="[Orders].[OrderID].&amp;[521]" c="521"/>
              <i n="[Orders].[OrderID].&amp;[522]" c="522"/>
              <i n="[Orders].[OrderID].&amp;[524]" c="524"/>
              <i n="[Orders].[OrderID].&amp;[525]" c="525"/>
              <i n="[Orders].[OrderID].&amp;[526]" c="526"/>
              <i n="[Orders].[OrderID].&amp;[527]" c="527"/>
              <i n="[Orders].[OrderID].&amp;[528]" c="528"/>
              <i n="[Orders].[OrderID].&amp;[529]" c="529"/>
              <i n="[Orders].[OrderID].&amp;[530]" c="530"/>
              <i n="[Orders].[OrderID].&amp;[531]" c="531"/>
              <i n="[Orders].[OrderID].&amp;[532]" c="532"/>
              <i n="[Orders].[OrderID].&amp;[533]" c="533"/>
              <i n="[Orders].[OrderID].&amp;[534]" c="534"/>
              <i n="[Orders].[OrderID].&amp;[535]" c="535"/>
              <i n="[Orders].[OrderID].&amp;[536]" c="536"/>
              <i n="[Orders].[OrderID].&amp;[537]" c="537"/>
              <i n="[Orders].[OrderID].&amp;[539]" c="539"/>
              <i n="[Orders].[OrderID].&amp;[540]" c="540"/>
              <i n="[Orders].[OrderID].&amp;[542]" c="542"/>
              <i n="[Orders].[OrderID].&amp;[543]" c="543"/>
              <i n="[Orders].[OrderID].&amp;[544]" c="544"/>
              <i n="[Orders].[OrderID].&amp;[545]" c="545"/>
              <i n="[Orders].[OrderID].&amp;[546]" c="546"/>
              <i n="[Orders].[OrderID].&amp;[547]" c="547"/>
              <i n="[Orders].[OrderID].&amp;[548]" c="548"/>
              <i n="[Orders].[OrderID].&amp;[549]" c="549"/>
              <i n="[Orders].[OrderID].&amp;[550]" c="550"/>
              <i n="[Orders].[OrderID].&amp;[551]" c="551"/>
              <i n="[Orders].[OrderID].&amp;[552]" c="552"/>
              <i n="[Orders].[OrderID].&amp;[553]" c="553"/>
              <i n="[Orders].[OrderID].&amp;[554]" c="554"/>
              <i n="[Orders].[OrderID].&amp;[555]" c="555"/>
              <i n="[Orders].[OrderID].&amp;[556]" c="556"/>
              <i n="[Orders].[OrderID].&amp;[557]" c="557"/>
              <i n="[Orders].[OrderID].&amp;[558]" c="558"/>
              <i n="[Orders].[OrderID].&amp;[559]" c="559"/>
              <i n="[Orders].[OrderID].&amp;[560]" c="560"/>
              <i n="[Orders].[OrderID].&amp;[561]" c="561"/>
              <i n="[Orders].[OrderID].&amp;[562]" c="562"/>
              <i n="[Orders].[OrderID].&amp;[563]" c="563"/>
              <i n="[Orders].[OrderID].&amp;[564]" c="564"/>
              <i n="[Orders].[OrderID].&amp;[565]" c="565"/>
              <i n="[Orders].[OrderID].&amp;[566]" c="566"/>
              <i n="[Orders].[OrderID].&amp;[567]" c="567"/>
              <i n="[Orders].[OrderID].&amp;[568]" c="568"/>
              <i n="[Orders].[OrderID].&amp;[569]" c="569"/>
              <i n="[Orders].[OrderID].&amp;[570]" c="570"/>
              <i n="[Orders].[OrderID].&amp;[571]" c="571"/>
              <i n="[Orders].[OrderID].&amp;[572]" c="572"/>
              <i n="[Orders].[OrderID].&amp;[573]" c="573"/>
              <i n="[Orders].[OrderID].&amp;[574]" c="574"/>
              <i n="[Orders].[OrderID].&amp;[575]" c="575"/>
              <i n="[Orders].[OrderID].&amp;[576]" c="576"/>
              <i n="[Orders].[OrderID].&amp;[577]" c="577"/>
              <i n="[Orders].[OrderID].&amp;[578]" c="578"/>
              <i n="[Orders].[OrderID].&amp;[579]" c="579"/>
              <i n="[Orders].[OrderID].&amp;[580]" c="580"/>
              <i n="[Orders].[OrderID].&amp;[581]" c="581"/>
              <i n="[Orders].[OrderID].&amp;[582]" c="582"/>
              <i n="[Orders].[OrderID].&amp;[583]" c="583"/>
              <i n="[Orders].[OrderID].&amp;[584]" c="584"/>
              <i n="[Orders].[OrderID].&amp;[585]" c="585"/>
              <i n="[Orders].[OrderID].&amp;[586]" c="586"/>
              <i n="[Orders].[OrderID].&amp;[587]" c="587"/>
              <i n="[Orders].[OrderID].&amp;[588]" c="588"/>
              <i n="[Orders].[OrderID].&amp;[589]" c="589"/>
              <i n="[Orders].[OrderID].&amp;[590]" c="590"/>
              <i n="[Orders].[OrderID].&amp;[591]" c="591"/>
              <i n="[Orders].[OrderID].&amp;[592]" c="592"/>
              <i n="[Orders].[OrderID].&amp;[593]" c="593"/>
              <i n="[Orders].[OrderID].&amp;[594]" c="594"/>
              <i n="[Orders].[OrderID].&amp;[595]" c="595"/>
              <i n="[Orders].[OrderID].&amp;[596]" c="596"/>
              <i n="[Orders].[OrderID].&amp;[597]" c="597"/>
              <i n="[Orders].[OrderID].&amp;[598]" c="598"/>
              <i n="[Orders].[OrderID].&amp;[599]" c="599"/>
              <i n="[Orders].[OrderID].&amp;[600]" c="600"/>
              <i n="[Orders].[OrderID].&amp;[601]" c="601"/>
              <i n="[Orders].[OrderID].&amp;[602]" c="602"/>
              <i n="[Orders].[OrderID].&amp;[603]" c="603"/>
              <i n="[Orders].[OrderID].&amp;[604]" c="604"/>
              <i n="[Orders].[OrderID].&amp;[605]" c="605"/>
              <i n="[Orders].[OrderID].&amp;[606]" c="606"/>
              <i n="[Orders].[OrderID].&amp;[607]" c="607"/>
              <i n="[Orders].[OrderID].&amp;[608]" c="608"/>
              <i n="[Orders].[OrderID].&amp;[609]" c="609"/>
              <i n="[Orders].[OrderID].&amp;[610]" c="610"/>
              <i n="[Orders].[OrderID].&amp;[611]" c="611"/>
              <i n="[Orders].[OrderID].&amp;[612]" c="612"/>
              <i n="[Orders].[OrderID].&amp;[613]" c="613"/>
              <i n="[Orders].[OrderID].&amp;[614]" c="614"/>
              <i n="[Orders].[OrderID].&amp;[615]" c="615"/>
              <i n="[Orders].[OrderID].&amp;[616]" c="616"/>
              <i n="[Orders].[OrderID].&amp;[617]" c="617"/>
              <i n="[Orders].[OrderID].&amp;[618]" c="618"/>
              <i n="[Orders].[OrderID].&amp;[619]" c="619"/>
              <i n="[Orders].[OrderID].&amp;[620]" c="620"/>
              <i n="[Orders].[OrderID].&amp;[621]" c="621"/>
              <i n="[Orders].[OrderID].&amp;[622]" c="622"/>
              <i n="[Orders].[OrderID].&amp;[623]" c="623"/>
              <i n="[Orders].[OrderID].&amp;[624]" c="624"/>
              <i n="[Orders].[OrderID].&amp;[625]" c="625"/>
              <i n="[Orders].[OrderID].&amp;[626]" c="626"/>
              <i n="[Orders].[OrderID].&amp;[627]" c="627"/>
              <i n="[Orders].[OrderID].&amp;[628]" c="628"/>
              <i n="[Orders].[OrderID].&amp;[629]" c="629"/>
              <i n="[Orders].[OrderID].&amp;[630]" c="630"/>
              <i n="[Orders].[OrderID].&amp;[631]" c="631"/>
              <i n="[Orders].[OrderID].&amp;[632]" c="632"/>
              <i n="[Orders].[OrderID].&amp;[633]" c="633"/>
              <i n="[Orders].[OrderID].&amp;[634]" c="634"/>
              <i n="[Orders].[OrderID].&amp;[635]" c="635"/>
              <i n="[Orders].[OrderID].&amp;[636]" c="636"/>
              <i n="[Orders].[OrderID].&amp;[637]" c="637"/>
              <i n="[Orders].[OrderID].&amp;[638]" c="638"/>
              <i n="[Orders].[OrderID].&amp;[639]" c="639"/>
              <i n="[Orders].[OrderID].&amp;[640]" c="640"/>
              <i n="[Orders].[OrderID].&amp;[641]" c="641"/>
              <i n="[Orders].[OrderID].&amp;[642]" c="642"/>
              <i n="[Orders].[OrderID].&amp;[643]" c="643"/>
              <i n="[Orders].[OrderID].&amp;[644]" c="644"/>
              <i n="[Orders].[OrderID].&amp;[645]" c="645"/>
              <i n="[Orders].[OrderID].&amp;[646]" c="646"/>
              <i n="[Orders].[OrderID].&amp;[647]" c="647"/>
              <i n="[Orders].[OrderID].&amp;[648]" c="648"/>
              <i n="[Orders].[OrderID].&amp;[649]" c="649"/>
              <i n="[Orders].[OrderID].&amp;[650]" c="650"/>
              <i n="[Orders].[OrderID].&amp;[651]" c="651"/>
              <i n="[Orders].[OrderID].&amp;[652]" c="652"/>
              <i n="[Orders].[OrderID].&amp;[653]" c="653"/>
              <i n="[Orders].[OrderID].&amp;[654]" c="654"/>
              <i n="[Orders].[OrderID].&amp;[655]" c="655"/>
              <i n="[Orders].[OrderID].&amp;[656]" c="656"/>
              <i n="[Orders].[OrderID].&amp;[657]" c="657"/>
              <i n="[Orders].[OrderID].&amp;[658]" c="658"/>
              <i n="[Orders].[OrderID].&amp;[659]" c="659"/>
              <i n="[Orders].[OrderID].&amp;[660]" c="660"/>
              <i n="[Orders].[OrderID].&amp;[661]" c="661"/>
              <i n="[Orders].[OrderID].&amp;[662]" c="662"/>
              <i n="[Orders].[OrderID].&amp;[663]" c="663"/>
              <i n="[Orders].[OrderID].&amp;[664]" c="664"/>
              <i n="[Orders].[OrderID].&amp;[665]" c="665"/>
              <i n="[Orders].[OrderID].&amp;[666]" c="666"/>
              <i n="[Orders].[OrderID].&amp;[667]" c="667"/>
              <i n="[Orders].[OrderID].&amp;[668]" c="668"/>
              <i n="[Orders].[OrderID].&amp;[669]" c="669"/>
              <i n="[Orders].[OrderID].&amp;[670]" c="670"/>
              <i n="[Orders].[OrderID].&amp;[671]" c="671"/>
              <i n="[Orders].[OrderID].&amp;[672]" c="672"/>
              <i n="[Orders].[OrderID].&amp;[673]" c="673"/>
              <i n="[Orders].[OrderID].&amp;[674]" c="674"/>
              <i n="[Orders].[OrderID].&amp;[675]" c="675"/>
              <i n="[Orders].[OrderID].&amp;[676]" c="676"/>
              <i n="[Orders].[OrderID].&amp;[677]" c="677"/>
              <i n="[Orders].[OrderID].&amp;[678]" c="678"/>
              <i n="[Orders].[OrderID].&amp;[679]" c="679"/>
              <i n="[Orders].[OrderID].&amp;[680]" c="680"/>
              <i n="[Orders].[OrderID].&amp;[681]" c="681"/>
              <i n="[Orders].[OrderID].&amp;[682]" c="682"/>
              <i n="[Orders].[OrderID].&amp;[683]" c="683"/>
              <i n="[Orders].[OrderID].&amp;[684]" c="684"/>
              <i n="[Orders].[OrderID].&amp;[685]" c="685"/>
              <i n="[Orders].[OrderID].&amp;[686]" c="686"/>
              <i n="[Orders].[OrderID].&amp;[687]" c="687"/>
              <i n="[Orders].[OrderID].&amp;[688]" c="688"/>
              <i n="[Orders].[OrderID].&amp;[689]" c="689"/>
              <i n="[Orders].[OrderID].&amp;[690]" c="690"/>
              <i n="[Orders].[OrderID].&amp;[691]" c="691"/>
              <i n="[Orders].[OrderID].&amp;[692]" c="692"/>
              <i n="[Orders].[OrderID].&amp;[693]" c="693"/>
              <i n="[Orders].[OrderID].&amp;[694]" c="694"/>
              <i n="[Orders].[OrderID].&amp;[695]" c="695"/>
              <i n="[Orders].[OrderID].&amp;[696]" c="696"/>
              <i n="[Orders].[OrderID].&amp;[697]" c="697"/>
              <i n="[Orders].[OrderID].&amp;[698]" c="698"/>
              <i n="[Orders].[OrderID].&amp;[699]" c="699"/>
              <i n="[Orders].[OrderID].&amp;[700]" c="700"/>
              <i n="[Orders].[OrderID].&amp;[701]" c="701"/>
              <i n="[Orders].[OrderID].&amp;[702]" c="702"/>
              <i n="[Orders].[OrderID].&amp;[703]" c="703"/>
              <i n="[Orders].[OrderID].&amp;[704]" c="704"/>
              <i n="[Orders].[OrderID].&amp;[706]" c="706"/>
              <i n="[Orders].[OrderID].&amp;[707]" c="707"/>
              <i n="[Orders].[OrderID].&amp;[708]" c="708"/>
              <i n="[Orders].[OrderID].&amp;[709]" c="709"/>
              <i n="[Orders].[OrderID].&amp;[710]" c="710"/>
              <i n="[Orders].[OrderID].&amp;[712]" c="712"/>
              <i n="[Orders].[OrderID].&amp;[713]" c="713"/>
              <i n="[Orders].[OrderID].&amp;[714]" c="714"/>
              <i n="[Orders].[OrderID].&amp;[715]" c="715"/>
              <i n="[Orders].[OrderID].&amp;[716]" c="716"/>
              <i n="[Orders].[OrderID].&amp;[717]" c="717"/>
              <i n="[Orders].[OrderID].&amp;[718]" c="718"/>
              <i n="[Orders].[OrderID].&amp;[719]" c="719"/>
              <i n="[Orders].[OrderID].&amp;[720]" c="720"/>
              <i n="[Orders].[OrderID].&amp;[721]" c="721"/>
              <i n="[Orders].[OrderID].&amp;[722]" c="722"/>
              <i n="[Orders].[OrderID].&amp;[723]" c="723"/>
              <i n="[Orders].[OrderID].&amp;[724]" c="724"/>
              <i n="[Orders].[OrderID].&amp;[725]" c="725"/>
              <i n="[Orders].[OrderID].&amp;[726]" c="726"/>
              <i n="[Orders].[OrderID].&amp;[727]" c="727"/>
              <i n="[Orders].[OrderID].&amp;[728]" c="728"/>
              <i n="[Orders].[OrderID].&amp;[729]" c="729"/>
              <i n="[Orders].[OrderID].&amp;[731]" c="731"/>
              <i n="[Orders].[OrderID].&amp;[732]" c="732"/>
              <i n="[Orders].[OrderID].&amp;[733]" c="733"/>
              <i n="[Orders].[OrderID].&amp;[734]" c="734"/>
              <i n="[Orders].[OrderID].&amp;[735]" c="735"/>
              <i n="[Orders].[OrderID].&amp;[736]" c="736"/>
              <i n="[Orders].[OrderID].&amp;[737]" c="737"/>
              <i n="[Orders].[OrderID].&amp;[738]" c="738"/>
              <i n="[Orders].[OrderID].&amp;[739]" c="739"/>
              <i n="[Orders].[OrderID].&amp;[740]" c="740"/>
              <i n="[Orders].[OrderID].&amp;[741]" c="741"/>
              <i n="[Orders].[OrderID].&amp;[742]" c="742"/>
              <i n="[Orders].[OrderID].&amp;[743]" c="743"/>
              <i n="[Orders].[OrderID].&amp;[744]" c="744"/>
              <i n="[Orders].[OrderID].&amp;[745]" c="745"/>
              <i n="[Orders].[OrderID].&amp;[746]" c="746"/>
              <i n="[Orders].[OrderID].&amp;[747]" c="747"/>
              <i n="[Orders].[OrderID].&amp;[748]" c="748"/>
              <i n="[Orders].[OrderID].&amp;[749]" c="749"/>
              <i n="[Orders].[OrderID].&amp;[750]" c="750"/>
              <i n="[Orders].[OrderID].&amp;[751]" c="751"/>
              <i n="[Orders].[OrderID].&amp;[752]" c="752"/>
              <i n="[Orders].[OrderID].&amp;[753]" c="753"/>
              <i n="[Orders].[OrderID].&amp;[754]" c="754"/>
              <i n="[Orders].[OrderID].&amp;[755]" c="755"/>
              <i n="[Orders].[OrderID].&amp;[756]" c="756"/>
              <i n="[Orders].[OrderID].&amp;[757]" c="757"/>
              <i n="[Orders].[OrderID].&amp;[758]" c="758"/>
              <i n="[Orders].[OrderID].&amp;[759]" c="759"/>
              <i n="[Orders].[OrderID].&amp;[760]" c="760"/>
              <i n="[Orders].[OrderID].&amp;[761]" c="761"/>
              <i n="[Orders].[OrderID].&amp;[762]" c="762"/>
              <i n="[Orders].[OrderID].&amp;[763]" c="763"/>
              <i n="[Orders].[OrderID].&amp;[764]" c="764"/>
              <i n="[Orders].[OrderID].&amp;[765]" c="765"/>
              <i n="[Orders].[OrderID].&amp;[766]" c="766"/>
              <i n="[Orders].[OrderID].&amp;[767]" c="767"/>
              <i n="[Orders].[OrderID].&amp;[768]" c="768"/>
              <i n="[Orders].[OrderID].&amp;[770]" c="770"/>
              <i n="[Orders].[OrderID].&amp;[771]" c="771"/>
              <i n="[Orders].[OrderID].&amp;[772]" c="772"/>
              <i n="[Orders].[OrderID].&amp;[773]" c="773"/>
              <i n="[Orders].[OrderID].&amp;[774]" c="774"/>
              <i n="[Orders].[OrderID].&amp;[776]" c="776"/>
              <i n="[Orders].[OrderID].&amp;[777]" c="777"/>
              <i n="[Orders].[OrderID].&amp;[778]" c="778"/>
              <i n="[Orders].[OrderID].&amp;[779]" c="779"/>
              <i n="[Orders].[OrderID].&amp;[780]" c="780"/>
              <i n="[Orders].[OrderID].&amp;[781]" c="781"/>
              <i n="[Orders].[OrderID].&amp;[782]" c="782"/>
              <i n="[Orders].[OrderID].&amp;[783]" c="783"/>
              <i n="[Orders].[OrderID].&amp;[784]" c="784"/>
              <i n="[Orders].[OrderID].&amp;[785]" c="785"/>
              <i n="[Orders].[OrderID].&amp;[786]" c="786"/>
              <i n="[Orders].[OrderID].&amp;[787]" c="787"/>
              <i n="[Orders].[OrderID].&amp;[788]" c="788"/>
              <i n="[Orders].[OrderID].&amp;[789]" c="789"/>
              <i n="[Orders].[OrderID].&amp;[790]" c="790"/>
              <i n="[Orders].[OrderID].&amp;[791]" c="791"/>
              <i n="[Orders].[OrderID].&amp;[792]" c="792"/>
              <i n="[Orders].[OrderID].&amp;[793]" c="793"/>
              <i n="[Orders].[OrderID].&amp;[794]" c="794"/>
              <i n="[Orders].[OrderID].&amp;[795]" c="795"/>
              <i n="[Orders].[OrderID].&amp;[796]" c="796"/>
              <i n="[Orders].[OrderID].&amp;[797]" c="797"/>
              <i n="[Orders].[OrderID].&amp;[798]" c="798"/>
              <i n="[Orders].[OrderID].&amp;[799]" c="799"/>
              <i n="[Orders].[OrderID].&amp;[800]" c="800"/>
              <i n="[Orders].[OrderID].&amp;[801]" c="801"/>
              <i n="[Orders].[OrderID].&amp;[802]" c="802"/>
              <i n="[Orders].[OrderID].&amp;[803]" c="803"/>
              <i n="[Orders].[OrderID].&amp;[804]" c="804"/>
              <i n="[Orders].[OrderID].&amp;[805]" c="805"/>
              <i n="[Orders].[OrderID].&amp;[806]" c="806"/>
              <i n="[Orders].[OrderID].&amp;[807]" c="807"/>
              <i n="[Orders].[OrderID].&amp;[808]" c="808"/>
              <i n="[Orders].[OrderID].&amp;[809]" c="809"/>
              <i n="[Orders].[OrderID].&amp;[810]" c="810"/>
              <i n="[Orders].[OrderID].&amp;[811]" c="811"/>
              <i n="[Orders].[OrderID].&amp;[812]" c="812"/>
              <i n="[Orders].[OrderID].&amp;[813]" c="813"/>
              <i n="[Orders].[OrderID].&amp;[814]" c="814"/>
              <i n="[Orders].[OrderID].&amp;[815]" c="815"/>
              <i n="[Orders].[OrderID].&amp;[816]" c="816"/>
              <i n="[Orders].[OrderID].&amp;[817]" c="817"/>
              <i n="[Orders].[OrderID].&amp;[818]" c="818"/>
              <i n="[Orders].[OrderID].&amp;[819]" c="819"/>
              <i n="[Orders].[OrderID].&amp;[820]" c="820"/>
              <i n="[Orders].[OrderID].&amp;[821]" c="821"/>
              <i n="[Orders].[OrderID].&amp;[822]" c="822"/>
              <i n="[Orders].[OrderID].&amp;[823]" c="823"/>
              <i n="[Orders].[OrderID].&amp;[824]" c="824"/>
              <i n="[Orders].[OrderID].&amp;[825]" c="825"/>
              <i n="[Orders].[OrderID].&amp;[826]" c="826"/>
              <i n="[Orders].[OrderID].&amp;[827]" c="827"/>
              <i n="[Orders].[OrderID].&amp;[828]" c="828"/>
              <i n="[Orders].[OrderID].&amp;[829]" c="829"/>
              <i n="[Orders].[OrderID].&amp;[830]" c="830"/>
              <i n="[Orders].[OrderID].&amp;[831]" c="831"/>
              <i n="[Orders].[OrderID].&amp;[832]" c="832"/>
              <i n="[Orders].[OrderID].&amp;[833]" c="833"/>
              <i n="[Orders].[OrderID].&amp;[834]" c="834"/>
              <i n="[Orders].[OrderID].&amp;[835]" c="835"/>
              <i n="[Orders].[OrderID].&amp;[836]" c="836"/>
              <i n="[Orders].[OrderID].&amp;[837]" c="837"/>
              <i n="[Orders].[OrderID].&amp;[838]" c="838"/>
              <i n="[Orders].[OrderID].&amp;[839]" c="839"/>
              <i n="[Orders].[OrderID].&amp;[840]" c="840"/>
              <i n="[Orders].[OrderID].&amp;[841]" c="841"/>
              <i n="[Orders].[OrderID].&amp;[842]" c="842"/>
              <i n="[Orders].[OrderID].&amp;[843]" c="843"/>
              <i n="[Orders].[OrderID].&amp;[844]" c="844"/>
              <i n="[Orders].[OrderID].&amp;[845]" c="845"/>
              <i n="[Orders].[OrderID].&amp;[846]" c="846"/>
              <i n="[Orders].[OrderID].&amp;[847]" c="847"/>
              <i n="[Orders].[OrderID].&amp;[848]" c="848"/>
              <i n="[Orders].[OrderID].&amp;[849]" c="849"/>
              <i n="[Orders].[OrderID].&amp;[850]" c="850"/>
              <i n="[Orders].[OrderID].&amp;[851]" c="851"/>
              <i n="[Orders].[OrderID].&amp;[852]" c="852"/>
              <i n="[Orders].[OrderID].&amp;[853]" c="853"/>
              <i n="[Orders].[OrderID].&amp;[854]" c="854"/>
              <i n="[Orders].[OrderID].&amp;[855]" c="855"/>
              <i n="[Orders].[OrderID].&amp;[856]" c="856"/>
              <i n="[Orders].[OrderID].&amp;[857]" c="857"/>
              <i n="[Orders].[OrderID].&amp;[858]" c="858"/>
              <i n="[Orders].[OrderID].&amp;[859]" c="859"/>
              <i n="[Orders].[OrderID].&amp;[860]" c="860"/>
              <i n="[Orders].[OrderID].&amp;[861]" c="861"/>
              <i n="[Orders].[OrderID].&amp;[862]" c="862"/>
              <i n="[Orders].[OrderID].&amp;[863]" c="863"/>
              <i n="[Orders].[OrderID].&amp;[864]" c="864"/>
              <i n="[Orders].[OrderID].&amp;[865]" c="865"/>
              <i n="[Orders].[OrderID].&amp;[866]" c="866"/>
              <i n="[Orders].[OrderID].&amp;[867]" c="867"/>
              <i n="[Orders].[OrderID].&amp;[868]" c="868"/>
              <i n="[Orders].[OrderID].&amp;[869]" c="869"/>
              <i n="[Orders].[OrderID].&amp;[870]" c="870"/>
              <i n="[Orders].[OrderID].&amp;[871]" c="871"/>
              <i n="[Orders].[OrderID].&amp;[872]" c="872"/>
              <i n="[Orders].[OrderID].&amp;[873]" c="873"/>
              <i n="[Orders].[OrderID].&amp;[874]" c="874"/>
              <i n="[Orders].[OrderID].&amp;[875]" c="875"/>
              <i n="[Orders].[OrderID].&amp;[876]" c="876"/>
              <i n="[Orders].[OrderID].&amp;[877]" c="877"/>
              <i n="[Orders].[OrderID].&amp;[878]" c="878"/>
              <i n="[Orders].[OrderID].&amp;[879]" c="879"/>
              <i n="[Orders].[OrderID].&amp;[880]" c="880"/>
              <i n="[Orders].[OrderID].&amp;[881]" c="881"/>
              <i n="[Orders].[OrderID].&amp;[882]" c="882"/>
              <i n="[Orders].[OrderID].&amp;[883]" c="883"/>
              <i n="[Orders].[OrderID].&amp;[884]" c="884"/>
              <i n="[Orders].[OrderID].&amp;[885]" c="885"/>
              <i n="[Orders].[OrderID].&amp;[886]" c="886"/>
              <i n="[Orders].[OrderID].&amp;[887]" c="887"/>
              <i n="[Orders].[OrderID].&amp;[888]" c="888"/>
              <i n="[Orders].[OrderID].&amp;[889]" c="889"/>
              <i n="[Orders].[OrderID].&amp;[890]" c="890"/>
              <i n="[Orders].[OrderID].&amp;[891]" c="891"/>
              <i n="[Orders].[OrderID].&amp;[892]" c="892"/>
              <i n="[Orders].[OrderID].&amp;[893]" c="893"/>
              <i n="[Orders].[OrderID].&amp;[894]" c="894"/>
              <i n="[Orders].[OrderID].&amp;[895]" c="895"/>
              <i n="[Orders].[OrderID].&amp;[896]" c="896"/>
              <i n="[Orders].[OrderID].&amp;[897]" c="897"/>
              <i n="[Orders].[OrderID].&amp;[899]" c="899"/>
              <i n="[Orders].[OrderID].&amp;[900]" c="900"/>
              <i n="[Orders].[OrderID].&amp;[901]" c="901"/>
              <i n="[Orders].[OrderID].&amp;[902]" c="902"/>
              <i n="[Orders].[OrderID].&amp;[903]" c="903"/>
              <i n="[Orders].[OrderID].&amp;[904]" c="904"/>
              <i n="[Orders].[OrderID].&amp;[905]" c="905"/>
              <i n="[Orders].[OrderID].&amp;[906]" c="906"/>
              <i n="[Orders].[OrderID].&amp;[907]" c="907"/>
              <i n="[Orders].[OrderID].&amp;[908]" c="908"/>
              <i n="[Orders].[OrderID].&amp;[909]" c="909"/>
              <i n="[Orders].[OrderID].&amp;[910]" c="910"/>
              <i n="[Orders].[OrderID].&amp;[911]" c="911"/>
              <i n="[Orders].[OrderID].&amp;[912]" c="912"/>
              <i n="[Orders].[OrderID].&amp;[913]" c="913"/>
              <i n="[Orders].[OrderID].&amp;[914]" c="914"/>
              <i n="[Orders].[OrderID].&amp;[915]" c="915"/>
              <i n="[Orders].[OrderID].&amp;[916]" c="916"/>
              <i n="[Orders].[OrderID].&amp;[917]" c="917"/>
              <i n="[Orders].[OrderID].&amp;[918]" c="918"/>
              <i n="[Orders].[OrderID].&amp;[919]" c="919"/>
              <i n="[Orders].[OrderID].&amp;[920]" c="920"/>
              <i n="[Orders].[OrderID].&amp;[921]" c="921"/>
              <i n="[Orders].[OrderID].&amp;[922]" c="922"/>
              <i n="[Orders].[OrderID].&amp;[923]" c="923"/>
              <i n="[Orders].[OrderID].&amp;[924]" c="924"/>
              <i n="[Orders].[OrderID].&amp;[925]" c="925"/>
              <i n="[Orders].[OrderID].&amp;[926]" c="926"/>
              <i n="[Orders].[OrderID].&amp;[927]" c="927"/>
              <i n="[Orders].[OrderID].&amp;[928]" c="928"/>
              <i n="[Orders].[OrderID].&amp;[929]" c="929"/>
              <i n="[Orders].[OrderID].&amp;[930]" c="930"/>
              <i n="[Orders].[OrderID].&amp;[931]" c="931"/>
              <i n="[Orders].[OrderID].&amp;[932]" c="932"/>
              <i n="[Orders].[OrderID].&amp;[933]" c="933"/>
              <i n="[Orders].[OrderID].&amp;[934]" c="934"/>
              <i n="[Orders].[OrderID].&amp;[935]" c="935"/>
              <i n="[Orders].[OrderID].&amp;[936]" c="936"/>
              <i n="[Orders].[OrderID].&amp;[937]" c="937"/>
              <i n="[Orders].[OrderID].&amp;[938]" c="938"/>
              <i n="[Orders].[OrderID].&amp;[939]" c="939"/>
              <i n="[Orders].[OrderID].&amp;[940]" c="940"/>
              <i n="[Orders].[OrderID].&amp;[941]" c="941"/>
              <i n="[Orders].[OrderID].&amp;[942]" c="942"/>
              <i n="[Orders].[OrderID].&amp;[943]" c="943"/>
              <i n="[Orders].[OrderID].&amp;[944]" c="944"/>
              <i n="[Orders].[OrderID].&amp;[945]" c="945"/>
              <i n="[Orders].[OrderID].&amp;[947]" c="947"/>
              <i n="[Orders].[OrderID].&amp;[948]" c="948"/>
              <i n="[Orders].[OrderID].&amp;[949]" c="949"/>
              <i n="[Orders].[OrderID].&amp;[950]" c="950"/>
              <i n="[Orders].[OrderID].&amp;[951]" c="951"/>
              <i n="[Orders].[OrderID].&amp;[952]" c="952"/>
              <i n="[Orders].[OrderID].&amp;[953]" c="953"/>
              <i n="[Orders].[OrderID].&amp;[954]" c="954"/>
              <i n="[Orders].[OrderID].&amp;[955]" c="955"/>
              <i n="[Orders].[OrderID].&amp;[956]" c="956"/>
              <i n="[Orders].[OrderID].&amp;[957]" c="957"/>
              <i n="[Orders].[OrderID].&amp;[959]" c="959"/>
              <i n="[Orders].[OrderID].&amp;[960]" c="960"/>
              <i n="[Orders].[OrderID].&amp;[961]" c="961"/>
              <i n="[Orders].[OrderID].&amp;[962]" c="962"/>
              <i n="[Orders].[OrderID].&amp;[963]" c="963"/>
              <i n="[Orders].[OrderID].&amp;[964]" c="964"/>
              <i n="[Orders].[OrderID].&amp;[965]" c="965"/>
              <i n="[Orders].[OrderID].&amp;[966]" c="966"/>
              <i n="[Orders].[OrderID].&amp;[967]" c="967"/>
              <i n="[Orders].[OrderID].&amp;[968]" c="968"/>
              <i n="[Orders].[OrderID].&amp;[969]" c="969"/>
              <i n="[Orders].[OrderID].&amp;[970]" c="970"/>
              <i n="[Orders].[OrderID].&amp;[971]" c="971"/>
              <i n="[Orders].[OrderID].&amp;[972]" c="972"/>
              <i n="[Orders].[OrderID].&amp;[973]" c="973"/>
              <i n="[Orders].[OrderID].&amp;[974]" c="974"/>
              <i n="[Orders].[OrderID].&amp;[975]" c="975"/>
              <i n="[Orders].[OrderID].&amp;[976]" c="976"/>
              <i n="[Orders].[OrderID].&amp;[977]" c="977"/>
              <i n="[Orders].[OrderID].&amp;[978]" c="978"/>
              <i n="[Orders].[OrderID].&amp;[979]" c="979"/>
              <i n="[Orders].[OrderID].&amp;[980]" c="980"/>
              <i n="[Orders].[OrderID].&amp;[981]" c="981"/>
              <i n="[Orders].[OrderID].&amp;[982]" c="982"/>
              <i n="[Orders].[OrderID].&amp;[983]" c="983"/>
              <i n="[Orders].[OrderID].&amp;[984]" c="984"/>
              <i n="[Orders].[OrderID].&amp;[985]" c="985"/>
              <i n="[Orders].[OrderID].&amp;[986]" c="986"/>
              <i n="[Orders].[OrderID].&amp;[987]" c="987"/>
              <i n="[Orders].[OrderID].&amp;[988]" c="988"/>
              <i n="[Orders].[OrderID].&amp;[989]" c="989"/>
              <i n="[Orders].[OrderID].&amp;[990]" c="990"/>
              <i n="[Orders].[OrderID].&amp;[991]" c="991"/>
              <i n="[Orders].[OrderID].&amp;[992]" c="992"/>
              <i n="[Orders].[OrderID].&amp;[993]" c="993"/>
              <i n="[Orders].[OrderID].&amp;[994]" c="994"/>
              <i n="[Orders].[OrderID].&amp;[995]" c="995"/>
              <i n="[Orders].[OrderID].&amp;[996]" c="996"/>
              <i n="[Orders].[OrderID].&amp;[997]" c="997"/>
              <i n="[Orders].[OrderID].&amp;[998]" c="998"/>
              <i n="[Orders].[OrderID].&amp;[999]" c="999"/>
              <i n="[Orders].[OrderID].&amp;[1000]" c="1000"/>
              <i n="[Orders].[OrderID].&amp;[1001]" c="1001"/>
              <i n="[Orders].[OrderID].&amp;[1002]" c="1002"/>
              <i n="[Orders].[OrderID].&amp;[1003]" c="1003"/>
              <i n="[Orders].[OrderID].&amp;[1004]" c="1004"/>
              <i n="[Orders].[OrderID].&amp;[1005]" c="1005"/>
              <i n="[Orders].[OrderID].&amp;[1006]" c="1006"/>
              <i n="[Orders].[OrderID].&amp;[1007]" c="1007"/>
              <i n="[Orders].[OrderID].&amp;[1008]" c="1008"/>
              <i n="[Orders].[OrderID].&amp;[1009]" c="1009"/>
              <i n="[Orders].[OrderID].&amp;[1010]" c="1010"/>
              <i n="[Orders].[OrderID].&amp;[1011]" c="1011"/>
              <i n="[Orders].[OrderID].&amp;[1012]" c="1012"/>
              <i n="[Orders].[OrderID].&amp;[1013]" c="1013"/>
              <i n="[Orders].[OrderID].&amp;[1014]" c="1014"/>
              <i n="[Orders].[OrderID].&amp;[1016]" c="1016"/>
              <i n="[Orders].[OrderID].&amp;[1017]" c="1017"/>
              <i n="[Orders].[OrderID].&amp;[1018]" c="1018"/>
              <i n="[Orders].[OrderID].&amp;[1019]" c="1019"/>
            </range>
          </ranges>
        </level>
      </levels>
      <selections count="1">
        <selection n="[Orders].[Order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A42BACE-878F-4E5E-8BF7-5511B9350642}" cache="Slicer_Date_Hierarchy" caption="Month" level="2" style="SlicerStyleDark5" rowHeight="324000"/>
  <slicer name="Region" xr10:uid="{2A03A6AE-0EAC-4F46-8AF2-C312790D00DB}" cache="Slicer_Region" caption="Region" level="1" style="SlicerStyleDark5" rowHeight="324000"/>
  <slicer name="Quantity" xr10:uid="{2BA2AAA9-8495-4F57-83FF-AF05E7A951A2}" cache="Slicer_Quantity" caption="Quantity" level="1" style="SlicerStyleDark5" rowHeight="241300"/>
  <slicer name="Sales" xr10:uid="{20C86577-B918-421F-994C-F75BCF270801}" cache="Slicer_Sales" caption="Sales" level="1" style="SlicerStyleDark5" rowHeight="324000"/>
  <slicer name="Category" xr10:uid="{0C84B842-E7A4-487C-816B-A14331B17988}" cache="Slicer_Category" caption="Category" level="1" style="SlicerStyleDark5" rowHeight="324000"/>
  <slicer name="ProductName" xr10:uid="{CB473F33-7835-47E2-A542-CBABB9BB361F}" cache="Slicer_ProductName" caption="ProductName" level="1" style="SlicerStyleDark5" rowHeight="324000"/>
  <slicer name="OrderID" xr10:uid="{AC9AF3E2-B853-4CF6-BD65-A803425FFFBA}" cache="Slicer_OrderID" caption="OrderID"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4BBBF-DB39-4649-A06B-26F188DA7EEA}">
  <dimension ref="B3:O104"/>
  <sheetViews>
    <sheetView topLeftCell="A19" zoomScale="85" zoomScaleNormal="85" workbookViewId="0">
      <selection activeCell="D45" sqref="D45"/>
    </sheetView>
  </sheetViews>
  <sheetFormatPr defaultRowHeight="14.25" x14ac:dyDescent="0.2"/>
  <cols>
    <col min="2" max="2" width="13.125" bestFit="1" customWidth="1"/>
    <col min="3" max="3" width="11.125" bestFit="1" customWidth="1"/>
    <col min="4" max="4" width="13.125" bestFit="1" customWidth="1"/>
    <col min="5" max="5" width="16.5" bestFit="1" customWidth="1"/>
    <col min="6" max="6" width="13.125" bestFit="1" customWidth="1"/>
    <col min="7" max="7" width="16.125" bestFit="1" customWidth="1"/>
    <col min="8" max="8" width="12.125" bestFit="1" customWidth="1"/>
    <col min="9" max="9" width="9.875" bestFit="1" customWidth="1"/>
    <col min="10" max="10" width="13.125" bestFit="1" customWidth="1"/>
    <col min="11" max="11" width="16.25" bestFit="1" customWidth="1"/>
    <col min="12" max="13" width="16.5" bestFit="1" customWidth="1"/>
    <col min="14" max="22" width="16.125" bestFit="1" customWidth="1"/>
    <col min="23" max="24" width="11.375" bestFit="1" customWidth="1"/>
    <col min="25" max="347" width="9.875" bestFit="1" customWidth="1"/>
    <col min="348" max="348" width="11.375" bestFit="1" customWidth="1"/>
  </cols>
  <sheetData>
    <row r="3" spans="2:13" x14ac:dyDescent="0.2">
      <c r="B3" s="1" t="s">
        <v>2</v>
      </c>
      <c r="C3" t="s">
        <v>40</v>
      </c>
      <c r="D3" t="s">
        <v>46</v>
      </c>
      <c r="E3" t="s">
        <v>54</v>
      </c>
      <c r="L3" s="1" t="s">
        <v>2</v>
      </c>
      <c r="M3" t="s">
        <v>52</v>
      </c>
    </row>
    <row r="4" spans="2:13" x14ac:dyDescent="0.2">
      <c r="B4" s="2" t="s">
        <v>15</v>
      </c>
      <c r="C4" s="10">
        <v>3002396.8199999947</v>
      </c>
      <c r="D4" s="8">
        <v>802</v>
      </c>
      <c r="E4" s="8">
        <v>802</v>
      </c>
      <c r="L4" s="2" t="s">
        <v>41</v>
      </c>
      <c r="M4" s="9">
        <v>0.18457637376081856</v>
      </c>
    </row>
    <row r="5" spans="2:13" x14ac:dyDescent="0.2">
      <c r="B5" s="2" t="s">
        <v>16</v>
      </c>
      <c r="C5" s="10">
        <v>3114383.8500000089</v>
      </c>
      <c r="D5" s="8">
        <v>792</v>
      </c>
      <c r="E5" s="8">
        <v>792</v>
      </c>
      <c r="L5" s="2" t="s">
        <v>42</v>
      </c>
      <c r="M5" s="9">
        <v>0.20342987618718289</v>
      </c>
    </row>
    <row r="6" spans="2:13" x14ac:dyDescent="0.2">
      <c r="B6" s="2" t="s">
        <v>17</v>
      </c>
      <c r="C6" s="10">
        <v>3927488</v>
      </c>
      <c r="D6" s="8">
        <v>819</v>
      </c>
      <c r="E6" s="8">
        <v>819</v>
      </c>
      <c r="L6" s="2" t="s">
        <v>43</v>
      </c>
      <c r="M6" s="9">
        <v>0.20227398224508428</v>
      </c>
    </row>
    <row r="7" spans="2:13" x14ac:dyDescent="0.2">
      <c r="B7" s="2" t="s">
        <v>18</v>
      </c>
      <c r="C7" s="10">
        <v>6128575.2000000207</v>
      </c>
      <c r="D7" s="8">
        <v>765</v>
      </c>
      <c r="E7" s="8">
        <v>765</v>
      </c>
      <c r="L7" s="2" t="s">
        <v>44</v>
      </c>
      <c r="M7" s="9">
        <v>0.20187742792478425</v>
      </c>
    </row>
    <row r="8" spans="2:13" x14ac:dyDescent="0.2">
      <c r="B8" s="2" t="s">
        <v>19</v>
      </c>
      <c r="C8" s="10">
        <v>1926887.4600000002</v>
      </c>
      <c r="D8" s="8">
        <v>801</v>
      </c>
      <c r="E8" s="8">
        <v>801</v>
      </c>
      <c r="L8" s="2" t="s">
        <v>45</v>
      </c>
      <c r="M8" s="9">
        <v>0.20784233988213183</v>
      </c>
    </row>
    <row r="9" spans="2:13" x14ac:dyDescent="0.2">
      <c r="B9" s="2" t="s">
        <v>20</v>
      </c>
      <c r="C9" s="10">
        <v>5631703.2899999861</v>
      </c>
      <c r="D9" s="8">
        <v>754</v>
      </c>
      <c r="E9" s="8">
        <v>754</v>
      </c>
      <c r="L9" s="2" t="s">
        <v>1</v>
      </c>
      <c r="M9" s="9">
        <v>1</v>
      </c>
    </row>
    <row r="10" spans="2:13" x14ac:dyDescent="0.2">
      <c r="B10" s="2" t="s">
        <v>21</v>
      </c>
      <c r="C10" s="10">
        <v>8153848.8300000066</v>
      </c>
      <c r="D10" s="8">
        <v>740</v>
      </c>
      <c r="E10" s="8">
        <v>740</v>
      </c>
    </row>
    <row r="11" spans="2:13" x14ac:dyDescent="0.2">
      <c r="B11" s="2" t="s">
        <v>22</v>
      </c>
      <c r="C11" s="10">
        <v>3355900.1199999987</v>
      </c>
      <c r="D11" s="8">
        <v>799</v>
      </c>
      <c r="E11" s="8">
        <v>799</v>
      </c>
    </row>
    <row r="12" spans="2:13" x14ac:dyDescent="0.2">
      <c r="B12" s="2" t="s">
        <v>23</v>
      </c>
      <c r="C12" s="10">
        <v>888600</v>
      </c>
      <c r="D12" s="8">
        <v>818</v>
      </c>
      <c r="E12" s="8">
        <v>818</v>
      </c>
    </row>
    <row r="13" spans="2:13" x14ac:dyDescent="0.2">
      <c r="B13" s="2" t="s">
        <v>24</v>
      </c>
      <c r="C13" s="10">
        <v>5643702.2299999995</v>
      </c>
      <c r="D13" s="8">
        <v>832</v>
      </c>
      <c r="E13" s="8">
        <v>832</v>
      </c>
    </row>
    <row r="14" spans="2:13" x14ac:dyDescent="0.2">
      <c r="B14" s="2" t="s">
        <v>25</v>
      </c>
      <c r="C14" s="10">
        <v>5566320</v>
      </c>
      <c r="D14" s="8">
        <v>781</v>
      </c>
      <c r="E14" s="8">
        <v>781</v>
      </c>
      <c r="G14" s="1" t="s">
        <v>2</v>
      </c>
      <c r="H14" t="s">
        <v>40</v>
      </c>
    </row>
    <row r="15" spans="2:13" x14ac:dyDescent="0.2">
      <c r="B15" s="2" t="s">
        <v>26</v>
      </c>
      <c r="C15" s="10">
        <v>2064848</v>
      </c>
      <c r="D15" s="8">
        <v>740</v>
      </c>
      <c r="E15" s="8">
        <v>740</v>
      </c>
      <c r="G15" s="2" t="s">
        <v>3</v>
      </c>
      <c r="H15" s="10">
        <v>8439874.4500000011</v>
      </c>
      <c r="K15" s="1" t="s">
        <v>2</v>
      </c>
      <c r="L15" t="s">
        <v>46</v>
      </c>
    </row>
    <row r="16" spans="2:13" x14ac:dyDescent="0.2">
      <c r="B16" s="2" t="s">
        <v>27</v>
      </c>
      <c r="C16" s="10">
        <v>5199586.5600000098</v>
      </c>
      <c r="D16" s="8">
        <v>742</v>
      </c>
      <c r="E16" s="8">
        <v>742</v>
      </c>
      <c r="G16" s="2" t="s">
        <v>4</v>
      </c>
      <c r="H16" s="10">
        <v>8309925.610000005</v>
      </c>
      <c r="K16" s="2" t="s">
        <v>47</v>
      </c>
      <c r="L16" s="8">
        <v>3864</v>
      </c>
    </row>
    <row r="17" spans="2:15" x14ac:dyDescent="0.2">
      <c r="B17" s="2" t="s">
        <v>28</v>
      </c>
      <c r="C17" s="10">
        <v>1975390.3200000005</v>
      </c>
      <c r="D17" s="8">
        <v>786</v>
      </c>
      <c r="E17" s="8">
        <v>786</v>
      </c>
      <c r="G17" s="2" t="s">
        <v>5</v>
      </c>
      <c r="H17" s="10">
        <v>8377834.3700000029</v>
      </c>
      <c r="K17" s="2" t="s">
        <v>48</v>
      </c>
      <c r="L17" s="8">
        <v>4007</v>
      </c>
    </row>
    <row r="18" spans="2:15" x14ac:dyDescent="0.2">
      <c r="B18" s="2" t="s">
        <v>29</v>
      </c>
      <c r="C18" s="10">
        <v>2118009.5999999982</v>
      </c>
      <c r="D18" s="8">
        <v>788</v>
      </c>
      <c r="E18" s="8">
        <v>788</v>
      </c>
      <c r="G18" s="2" t="s">
        <v>6</v>
      </c>
      <c r="H18" s="10">
        <v>8625377.1600000039</v>
      </c>
      <c r="K18" s="2" t="s">
        <v>49</v>
      </c>
      <c r="L18" s="8">
        <v>3956</v>
      </c>
    </row>
    <row r="19" spans="2:15" x14ac:dyDescent="0.2">
      <c r="B19" s="2" t="s">
        <v>30</v>
      </c>
      <c r="C19" s="10">
        <v>6569490.7999999886</v>
      </c>
      <c r="D19" s="8">
        <v>811</v>
      </c>
      <c r="E19" s="8">
        <v>811</v>
      </c>
      <c r="G19" s="2" t="s">
        <v>7</v>
      </c>
      <c r="H19" s="10">
        <v>8659916.4400000013</v>
      </c>
      <c r="K19" s="2" t="s">
        <v>50</v>
      </c>
      <c r="L19" s="8">
        <v>3930</v>
      </c>
    </row>
    <row r="20" spans="2:15" x14ac:dyDescent="0.2">
      <c r="B20" s="2" t="s">
        <v>31</v>
      </c>
      <c r="C20" s="10">
        <v>2283091.1400000011</v>
      </c>
      <c r="D20" s="8">
        <v>715</v>
      </c>
      <c r="E20" s="8">
        <v>715</v>
      </c>
      <c r="G20" s="2" t="s">
        <v>8</v>
      </c>
      <c r="H20" s="10">
        <v>8397646.4900000039</v>
      </c>
      <c r="K20" s="2" t="s">
        <v>51</v>
      </c>
      <c r="L20" s="8">
        <v>3829</v>
      </c>
    </row>
    <row r="21" spans="2:15" x14ac:dyDescent="0.2">
      <c r="B21" s="2" t="s">
        <v>32</v>
      </c>
      <c r="C21" s="10">
        <v>6027520</v>
      </c>
      <c r="D21" s="8">
        <v>782</v>
      </c>
      <c r="E21" s="8">
        <v>782</v>
      </c>
      <c r="G21" s="2" t="s">
        <v>9</v>
      </c>
      <c r="H21" s="10">
        <v>8476094.9800000098</v>
      </c>
      <c r="K21" s="2" t="s">
        <v>1</v>
      </c>
      <c r="L21" s="3">
        <v>19586</v>
      </c>
    </row>
    <row r="22" spans="2:15" x14ac:dyDescent="0.2">
      <c r="B22" s="2" t="s">
        <v>33</v>
      </c>
      <c r="C22" s="10">
        <v>7208850.7399999881</v>
      </c>
      <c r="D22" s="8">
        <v>771</v>
      </c>
      <c r="E22" s="8">
        <v>771</v>
      </c>
      <c r="G22" s="2" t="s">
        <v>10</v>
      </c>
      <c r="H22" s="10">
        <v>8449704.5300000086</v>
      </c>
    </row>
    <row r="23" spans="2:15" x14ac:dyDescent="0.2">
      <c r="B23" s="2" t="s">
        <v>34</v>
      </c>
      <c r="C23" s="10">
        <v>6323812</v>
      </c>
      <c r="D23" s="8">
        <v>794</v>
      </c>
      <c r="E23" s="8">
        <v>794</v>
      </c>
      <c r="G23" s="2" t="s">
        <v>11</v>
      </c>
      <c r="H23" s="10">
        <v>8374160.4500000011</v>
      </c>
    </row>
    <row r="24" spans="2:15" x14ac:dyDescent="0.2">
      <c r="B24" s="2" t="s">
        <v>35</v>
      </c>
      <c r="C24" s="10">
        <v>263715.36000000028</v>
      </c>
      <c r="D24" s="8">
        <v>771</v>
      </c>
      <c r="E24" s="8">
        <v>771</v>
      </c>
      <c r="G24" s="2" t="s">
        <v>12</v>
      </c>
      <c r="H24" s="10">
        <v>8389597.570000004</v>
      </c>
    </row>
    <row r="25" spans="2:15" x14ac:dyDescent="0.2">
      <c r="B25" s="2" t="s">
        <v>36</v>
      </c>
      <c r="C25" s="10">
        <v>2216953.2000000002</v>
      </c>
      <c r="D25" s="8">
        <v>837</v>
      </c>
      <c r="E25" s="8">
        <v>837</v>
      </c>
      <c r="G25" s="2" t="s">
        <v>13</v>
      </c>
      <c r="H25" s="10">
        <v>8324892.380000012</v>
      </c>
    </row>
    <row r="26" spans="2:15" x14ac:dyDescent="0.2">
      <c r="B26" s="2" t="s">
        <v>37</v>
      </c>
      <c r="C26" s="10">
        <v>6346541.0399999991</v>
      </c>
      <c r="D26" s="8">
        <v>823</v>
      </c>
      <c r="E26" s="8">
        <v>823</v>
      </c>
      <c r="G26" s="2" t="s">
        <v>14</v>
      </c>
      <c r="H26" s="10">
        <v>8286293.6099999975</v>
      </c>
    </row>
    <row r="27" spans="2:15" x14ac:dyDescent="0.2">
      <c r="B27" s="2" t="s">
        <v>38</v>
      </c>
      <c r="C27" s="10">
        <v>2260674.8400000045</v>
      </c>
      <c r="D27" s="8">
        <v>794</v>
      </c>
      <c r="E27" s="8">
        <v>794</v>
      </c>
      <c r="G27" s="2" t="s">
        <v>1</v>
      </c>
      <c r="H27" s="3">
        <v>101111318.03999995</v>
      </c>
    </row>
    <row r="28" spans="2:15" x14ac:dyDescent="0.2">
      <c r="B28" s="2" t="s">
        <v>39</v>
      </c>
      <c r="C28" s="10">
        <v>2913028.6399999829</v>
      </c>
      <c r="D28" s="8">
        <v>729</v>
      </c>
      <c r="E28" s="8">
        <v>729</v>
      </c>
      <c r="J28" s="1" t="s">
        <v>2</v>
      </c>
      <c r="K28" t="s">
        <v>46</v>
      </c>
      <c r="N28" s="1" t="s">
        <v>2</v>
      </c>
      <c r="O28" t="s">
        <v>40</v>
      </c>
    </row>
    <row r="29" spans="2:15" x14ac:dyDescent="0.2">
      <c r="B29" s="2" t="s">
        <v>1</v>
      </c>
      <c r="C29" s="8">
        <v>101111318.03999995</v>
      </c>
      <c r="D29" s="8">
        <v>19586</v>
      </c>
      <c r="E29" s="8">
        <v>19586</v>
      </c>
      <c r="J29" s="2" t="s">
        <v>41</v>
      </c>
      <c r="K29" s="4">
        <v>3654</v>
      </c>
      <c r="N29" s="2" t="s">
        <v>14</v>
      </c>
      <c r="O29" s="10">
        <v>8286293.6099999975</v>
      </c>
    </row>
    <row r="30" spans="2:15" x14ac:dyDescent="0.2">
      <c r="J30" s="2" t="s">
        <v>42</v>
      </c>
      <c r="K30" s="4">
        <v>4001</v>
      </c>
      <c r="N30" s="2" t="s">
        <v>4</v>
      </c>
      <c r="O30" s="10">
        <v>8309925.610000005</v>
      </c>
    </row>
    <row r="31" spans="2:15" x14ac:dyDescent="0.2">
      <c r="J31" s="2" t="s">
        <v>43</v>
      </c>
      <c r="K31" s="4">
        <v>3931</v>
      </c>
      <c r="N31" s="2" t="s">
        <v>13</v>
      </c>
      <c r="O31" s="10">
        <v>8324892.380000012</v>
      </c>
    </row>
    <row r="32" spans="2:15" x14ac:dyDescent="0.2">
      <c r="J32" s="2" t="s">
        <v>44</v>
      </c>
      <c r="K32" s="4">
        <v>3954</v>
      </c>
      <c r="N32" s="2" t="s">
        <v>11</v>
      </c>
      <c r="O32" s="10">
        <v>8374160.4500000011</v>
      </c>
    </row>
    <row r="33" spans="4:15" x14ac:dyDescent="0.2">
      <c r="J33" s="2" t="s">
        <v>45</v>
      </c>
      <c r="K33" s="4">
        <v>4046</v>
      </c>
      <c r="N33" s="2" t="s">
        <v>5</v>
      </c>
      <c r="O33" s="10">
        <v>8377834.3700000029</v>
      </c>
    </row>
    <row r="34" spans="4:15" x14ac:dyDescent="0.2">
      <c r="J34" s="2" t="s">
        <v>1</v>
      </c>
      <c r="K34" s="3">
        <v>19586</v>
      </c>
      <c r="N34" s="2" t="s">
        <v>12</v>
      </c>
      <c r="O34" s="10">
        <v>8389597.570000004</v>
      </c>
    </row>
    <row r="35" spans="4:15" x14ac:dyDescent="0.2">
      <c r="D35" s="1" t="s">
        <v>58</v>
      </c>
      <c r="N35" s="2" t="s">
        <v>8</v>
      </c>
      <c r="O35" s="10">
        <v>8397646.4900000039</v>
      </c>
    </row>
    <row r="36" spans="4:15" x14ac:dyDescent="0.2">
      <c r="D36" s="2" t="s">
        <v>46</v>
      </c>
      <c r="E36" s="8">
        <v>19586</v>
      </c>
      <c r="N36" s="2" t="s">
        <v>3</v>
      </c>
      <c r="O36" s="10">
        <v>8439874.4500000011</v>
      </c>
    </row>
    <row r="37" spans="4:15" x14ac:dyDescent="0.2">
      <c r="D37" s="2" t="s">
        <v>54</v>
      </c>
      <c r="E37" s="8">
        <v>19586</v>
      </c>
      <c r="N37" s="2" t="s">
        <v>10</v>
      </c>
      <c r="O37" s="10">
        <v>8449704.5300000086</v>
      </c>
    </row>
    <row r="38" spans="4:15" x14ac:dyDescent="0.2">
      <c r="N38" s="2" t="s">
        <v>9</v>
      </c>
      <c r="O38" s="10">
        <v>8476094.9800000098</v>
      </c>
    </row>
    <row r="39" spans="4:15" x14ac:dyDescent="0.2">
      <c r="N39" s="2" t="s">
        <v>6</v>
      </c>
      <c r="O39" s="10">
        <v>8625377.1600000039</v>
      </c>
    </row>
    <row r="40" spans="4:15" x14ac:dyDescent="0.2">
      <c r="N40" s="2" t="s">
        <v>7</v>
      </c>
      <c r="O40" s="10">
        <v>8659916.4400000013</v>
      </c>
    </row>
    <row r="41" spans="4:15" x14ac:dyDescent="0.2">
      <c r="N41" s="2" t="s">
        <v>1</v>
      </c>
      <c r="O41" s="10">
        <v>101111318.03999995</v>
      </c>
    </row>
    <row r="46" spans="4:15" x14ac:dyDescent="0.2">
      <c r="F46" s="1" t="s">
        <v>40</v>
      </c>
      <c r="G46" s="1" t="s">
        <v>0</v>
      </c>
    </row>
    <row r="47" spans="4:15" x14ac:dyDescent="0.2">
      <c r="F47" s="1" t="s">
        <v>2</v>
      </c>
      <c r="G47">
        <v>2024</v>
      </c>
    </row>
    <row r="48" spans="4:15" x14ac:dyDescent="0.2">
      <c r="F48" s="2" t="s">
        <v>15</v>
      </c>
      <c r="G48" s="3">
        <v>3002396.8199999947</v>
      </c>
    </row>
    <row r="49" spans="6:14" x14ac:dyDescent="0.2">
      <c r="F49" s="2" t="s">
        <v>16</v>
      </c>
      <c r="G49" s="3">
        <v>3114383.8500000089</v>
      </c>
    </row>
    <row r="50" spans="6:14" x14ac:dyDescent="0.2">
      <c r="F50" s="2" t="s">
        <v>17</v>
      </c>
      <c r="G50" s="3">
        <v>3927488</v>
      </c>
    </row>
    <row r="51" spans="6:14" x14ac:dyDescent="0.2">
      <c r="F51" s="2" t="s">
        <v>18</v>
      </c>
      <c r="G51" s="3">
        <v>6128575.2000000207</v>
      </c>
    </row>
    <row r="52" spans="6:14" x14ac:dyDescent="0.2">
      <c r="F52" s="2" t="s">
        <v>19</v>
      </c>
      <c r="G52" s="3">
        <v>1926887.4600000002</v>
      </c>
    </row>
    <row r="53" spans="6:14" x14ac:dyDescent="0.2">
      <c r="F53" s="2" t="s">
        <v>20</v>
      </c>
      <c r="G53" s="3">
        <v>5631703.2899999861</v>
      </c>
    </row>
    <row r="54" spans="6:14" x14ac:dyDescent="0.2">
      <c r="F54" s="2" t="s">
        <v>21</v>
      </c>
      <c r="G54" s="3">
        <v>8153848.8300000066</v>
      </c>
      <c r="K54" s="11"/>
      <c r="L54" s="12"/>
      <c r="M54" s="13"/>
    </row>
    <row r="55" spans="6:14" x14ac:dyDescent="0.2">
      <c r="F55" s="2" t="s">
        <v>22</v>
      </c>
      <c r="G55" s="3">
        <v>3355900.1199999987</v>
      </c>
      <c r="K55" s="15"/>
      <c r="L55" s="16"/>
      <c r="M55" s="17"/>
      <c r="N55" s="14"/>
    </row>
    <row r="56" spans="6:14" x14ac:dyDescent="0.2">
      <c r="F56" s="2" t="s">
        <v>23</v>
      </c>
      <c r="G56" s="3">
        <v>888600</v>
      </c>
      <c r="K56" s="15"/>
      <c r="L56" s="16"/>
      <c r="M56" s="17"/>
    </row>
    <row r="57" spans="6:14" x14ac:dyDescent="0.2">
      <c r="F57" s="2" t="s">
        <v>24</v>
      </c>
      <c r="G57" s="3">
        <v>5643702.2299999995</v>
      </c>
      <c r="K57" s="15"/>
      <c r="L57" s="16"/>
      <c r="M57" s="17"/>
    </row>
    <row r="58" spans="6:14" x14ac:dyDescent="0.2">
      <c r="F58" s="2" t="s">
        <v>25</v>
      </c>
      <c r="G58" s="3">
        <v>5566320</v>
      </c>
      <c r="K58" s="15"/>
      <c r="L58" s="16"/>
      <c r="M58" s="17"/>
    </row>
    <row r="59" spans="6:14" x14ac:dyDescent="0.2">
      <c r="F59" s="2" t="s">
        <v>26</v>
      </c>
      <c r="G59" s="3">
        <v>2064848</v>
      </c>
      <c r="K59" s="15"/>
      <c r="L59" s="16"/>
      <c r="M59" s="17"/>
    </row>
    <row r="60" spans="6:14" x14ac:dyDescent="0.2">
      <c r="F60" s="2" t="s">
        <v>27</v>
      </c>
      <c r="G60" s="3">
        <v>5199586.5600000098</v>
      </c>
      <c r="K60" s="15"/>
      <c r="L60" s="16"/>
      <c r="M60" s="17"/>
    </row>
    <row r="61" spans="6:14" x14ac:dyDescent="0.2">
      <c r="F61" s="2" t="s">
        <v>28</v>
      </c>
      <c r="G61" s="3">
        <v>1975390.3200000005</v>
      </c>
      <c r="K61" s="15"/>
      <c r="L61" s="16"/>
      <c r="M61" s="17"/>
    </row>
    <row r="62" spans="6:14" x14ac:dyDescent="0.2">
      <c r="F62" s="2" t="s">
        <v>29</v>
      </c>
      <c r="G62" s="3">
        <v>2118009.5999999982</v>
      </c>
      <c r="K62" s="15"/>
      <c r="L62" s="16"/>
      <c r="M62" s="17"/>
    </row>
    <row r="63" spans="6:14" x14ac:dyDescent="0.2">
      <c r="F63" s="2" t="s">
        <v>30</v>
      </c>
      <c r="G63" s="3">
        <v>6569490.7999999886</v>
      </c>
      <c r="K63" s="15"/>
      <c r="L63" s="16"/>
      <c r="M63" s="17"/>
    </row>
    <row r="64" spans="6:14" x14ac:dyDescent="0.2">
      <c r="F64" s="2" t="s">
        <v>31</v>
      </c>
      <c r="G64" s="3">
        <v>2283091.1400000011</v>
      </c>
      <c r="K64" s="15"/>
      <c r="L64" s="16"/>
      <c r="M64" s="17"/>
    </row>
    <row r="65" spans="6:13" x14ac:dyDescent="0.2">
      <c r="F65" s="2" t="s">
        <v>32</v>
      </c>
      <c r="G65" s="3">
        <v>6027520</v>
      </c>
      <c r="K65" s="15"/>
      <c r="L65" s="16"/>
      <c r="M65" s="17"/>
    </row>
    <row r="66" spans="6:13" x14ac:dyDescent="0.2">
      <c r="F66" s="2" t="s">
        <v>33</v>
      </c>
      <c r="G66" s="3">
        <v>7208850.7399999881</v>
      </c>
      <c r="K66" s="15"/>
      <c r="L66" s="16"/>
      <c r="M66" s="17"/>
    </row>
    <row r="67" spans="6:13" x14ac:dyDescent="0.2">
      <c r="F67" s="2" t="s">
        <v>34</v>
      </c>
      <c r="G67" s="3">
        <v>6323812</v>
      </c>
      <c r="K67" s="15"/>
      <c r="L67" s="16"/>
      <c r="M67" s="17"/>
    </row>
    <row r="68" spans="6:13" x14ac:dyDescent="0.2">
      <c r="F68" s="2" t="s">
        <v>35</v>
      </c>
      <c r="G68" s="3">
        <v>263715.36000000028</v>
      </c>
      <c r="K68" s="15"/>
      <c r="L68" s="16"/>
      <c r="M68" s="17"/>
    </row>
    <row r="69" spans="6:13" x14ac:dyDescent="0.2">
      <c r="F69" s="2" t="s">
        <v>36</v>
      </c>
      <c r="G69" s="3">
        <v>2216953.2000000002</v>
      </c>
      <c r="K69" s="15"/>
      <c r="L69" s="16"/>
      <c r="M69" s="17"/>
    </row>
    <row r="70" spans="6:13" x14ac:dyDescent="0.2">
      <c r="F70" s="2" t="s">
        <v>37</v>
      </c>
      <c r="G70" s="3">
        <v>6346541.0399999991</v>
      </c>
      <c r="K70" s="15"/>
      <c r="L70" s="16"/>
      <c r="M70" s="17"/>
    </row>
    <row r="71" spans="6:13" x14ac:dyDescent="0.2">
      <c r="F71" s="2" t="s">
        <v>38</v>
      </c>
      <c r="G71" s="3">
        <v>2260674.8400000045</v>
      </c>
      <c r="K71" s="18"/>
      <c r="L71" s="19"/>
      <c r="M71" s="20"/>
    </row>
    <row r="72" spans="6:13" x14ac:dyDescent="0.2">
      <c r="F72" s="2" t="s">
        <v>39</v>
      </c>
      <c r="G72" s="3">
        <v>2913028.6399999829</v>
      </c>
    </row>
    <row r="73" spans="6:13" x14ac:dyDescent="0.2">
      <c r="F73" s="2" t="s">
        <v>1</v>
      </c>
      <c r="G73" s="3">
        <v>8439874.450000003</v>
      </c>
    </row>
    <row r="98" spans="5:6" x14ac:dyDescent="0.2">
      <c r="E98" s="1" t="s">
        <v>2</v>
      </c>
      <c r="F98" t="s">
        <v>53</v>
      </c>
    </row>
    <row r="99" spans="5:6" x14ac:dyDescent="0.2">
      <c r="E99" s="2" t="s">
        <v>41</v>
      </c>
      <c r="F99" s="8">
        <v>3654</v>
      </c>
    </row>
    <row r="100" spans="5:6" x14ac:dyDescent="0.2">
      <c r="E100" s="2" t="s">
        <v>42</v>
      </c>
      <c r="F100" s="8">
        <v>4001</v>
      </c>
    </row>
    <row r="101" spans="5:6" x14ac:dyDescent="0.2">
      <c r="E101" s="2" t="s">
        <v>43</v>
      </c>
      <c r="F101" s="8">
        <v>3931</v>
      </c>
    </row>
    <row r="102" spans="5:6" x14ac:dyDescent="0.2">
      <c r="E102" s="2" t="s">
        <v>44</v>
      </c>
      <c r="F102" s="8">
        <v>3954</v>
      </c>
    </row>
    <row r="103" spans="5:6" x14ac:dyDescent="0.2">
      <c r="E103" s="2" t="s">
        <v>45</v>
      </c>
      <c r="F103" s="8">
        <v>4046</v>
      </c>
    </row>
    <row r="104" spans="5:6" x14ac:dyDescent="0.2">
      <c r="E104" s="2" t="s">
        <v>1</v>
      </c>
      <c r="F104" s="8">
        <v>19586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E4E8-EA49-4E82-A2AD-18FA826AC45F}">
  <dimension ref="F1:AF59"/>
  <sheetViews>
    <sheetView showGridLines="0" tabSelected="1" topLeftCell="A3" zoomScale="70" zoomScaleNormal="70" workbookViewId="0">
      <selection activeCell="U9" sqref="U9"/>
    </sheetView>
  </sheetViews>
  <sheetFormatPr defaultRowHeight="14.25" x14ac:dyDescent="0.2"/>
  <cols>
    <col min="9" max="9" width="5.75" customWidth="1"/>
    <col min="10" max="10" width="12.875" customWidth="1"/>
    <col min="11" max="11" width="11.5" customWidth="1"/>
  </cols>
  <sheetData>
    <row r="1" spans="6:32" s="6" customFormat="1" x14ac:dyDescent="0.2"/>
    <row r="2" spans="6:32" s="6" customFormat="1" x14ac:dyDescent="0.2">
      <c r="Q2" s="30" t="s">
        <v>55</v>
      </c>
      <c r="R2" s="31"/>
      <c r="S2" s="31"/>
      <c r="T2" s="31"/>
      <c r="U2" s="31"/>
      <c r="V2" s="31"/>
      <c r="W2" s="31"/>
      <c r="X2" s="31"/>
    </row>
    <row r="3" spans="6:32" s="6" customFormat="1" x14ac:dyDescent="0.2">
      <c r="Q3" s="31"/>
      <c r="R3" s="31"/>
      <c r="S3" s="31"/>
      <c r="T3" s="31"/>
      <c r="U3" s="31"/>
      <c r="V3" s="31"/>
      <c r="W3" s="31"/>
      <c r="X3" s="31"/>
    </row>
    <row r="4" spans="6:32" s="6" customFormat="1" x14ac:dyDescent="0.2">
      <c r="Q4" s="31"/>
      <c r="R4" s="31"/>
      <c r="S4" s="31"/>
      <c r="T4" s="31"/>
      <c r="U4" s="31"/>
      <c r="V4" s="31"/>
      <c r="W4" s="31"/>
      <c r="X4" s="31"/>
    </row>
    <row r="5" spans="6:32" s="6" customFormat="1" x14ac:dyDescent="0.2">
      <c r="Q5" s="31"/>
      <c r="R5" s="31"/>
      <c r="S5" s="31"/>
      <c r="T5" s="31"/>
      <c r="U5" s="31"/>
      <c r="V5" s="31"/>
      <c r="W5" s="31"/>
      <c r="X5" s="31"/>
    </row>
    <row r="6" spans="6:32" s="5" customFormat="1" ht="18" customHeight="1" x14ac:dyDescent="0.2">
      <c r="F6" s="23" t="s">
        <v>40</v>
      </c>
      <c r="G6" s="23"/>
      <c r="H6" s="23"/>
      <c r="I6" s="29"/>
      <c r="J6" s="24">
        <f>GETPIVOTDATA("[Measures].[Total Sales]",Sheet1!$G$14)</f>
        <v>101111318.03999995</v>
      </c>
      <c r="K6" s="24"/>
      <c r="Q6" s="26" t="s">
        <v>56</v>
      </c>
      <c r="R6" s="27"/>
      <c r="S6" s="28"/>
      <c r="T6" s="23">
        <f>GETPIVOTDATA("[Measures].[Count of Quantity]",Sheet1!$D$35)</f>
        <v>19586</v>
      </c>
      <c r="U6" s="23"/>
      <c r="V6" s="23"/>
      <c r="AA6" s="22" t="s">
        <v>57</v>
      </c>
      <c r="AB6" s="21"/>
      <c r="AC6" s="21"/>
      <c r="AD6" s="21"/>
      <c r="AE6" s="32">
        <f>GETPIVOTDATA("[Measures].[Count of OrderID]",Sheet1!$D$35)</f>
        <v>19586</v>
      </c>
      <c r="AF6" s="26"/>
    </row>
    <row r="7" spans="6:32" s="5" customFormat="1" ht="18" customHeight="1" x14ac:dyDescent="0.2">
      <c r="F7" s="23"/>
      <c r="G7" s="23"/>
      <c r="H7" s="23"/>
      <c r="I7" s="29"/>
      <c r="J7" s="24"/>
      <c r="K7" s="24"/>
      <c r="Q7" s="27"/>
      <c r="R7" s="27"/>
      <c r="S7" s="28"/>
      <c r="T7" s="23"/>
      <c r="U7" s="23"/>
      <c r="V7" s="23"/>
      <c r="AA7" s="21"/>
      <c r="AB7" s="21"/>
      <c r="AC7" s="21"/>
      <c r="AD7" s="21"/>
      <c r="AE7" s="32"/>
      <c r="AF7" s="26"/>
    </row>
    <row r="8" spans="6:32" s="5" customFormat="1" ht="18" customHeight="1" x14ac:dyDescent="0.2">
      <c r="F8" s="23"/>
      <c r="G8" s="23"/>
      <c r="H8" s="23"/>
      <c r="I8" s="29"/>
      <c r="J8" s="24"/>
      <c r="K8" s="24"/>
      <c r="Q8" s="27"/>
      <c r="R8" s="27"/>
      <c r="S8" s="28"/>
      <c r="T8" s="23"/>
      <c r="U8" s="23"/>
      <c r="V8" s="23"/>
      <c r="AA8" s="21"/>
      <c r="AB8" s="21"/>
      <c r="AC8" s="21"/>
      <c r="AD8" s="21"/>
      <c r="AE8" s="32"/>
      <c r="AF8" s="26"/>
    </row>
    <row r="9" spans="6:32" s="7" customFormat="1" x14ac:dyDescent="0.2">
      <c r="S9" s="25"/>
      <c r="T9" s="7" t="s">
        <v>59</v>
      </c>
    </row>
    <row r="10" spans="6:32" s="7" customFormat="1" x14ac:dyDescent="0.2"/>
    <row r="11" spans="6:32" s="7" customFormat="1" x14ac:dyDescent="0.2"/>
    <row r="12" spans="6:32" s="7" customFormat="1" x14ac:dyDescent="0.2"/>
    <row r="13" spans="6:32" s="7" customFormat="1" x14ac:dyDescent="0.2"/>
    <row r="14" spans="6:32" s="7" customFormat="1" x14ac:dyDescent="0.2"/>
    <row r="15" spans="6:32" s="7" customFormat="1" x14ac:dyDescent="0.2"/>
    <row r="16" spans="6:32" s="7" customFormat="1" x14ac:dyDescent="0.2"/>
    <row r="17" s="7" customFormat="1" x14ac:dyDescent="0.2"/>
    <row r="18" s="7" customFormat="1" x14ac:dyDescent="0.2"/>
    <row r="19" s="7" customFormat="1" x14ac:dyDescent="0.2"/>
    <row r="20" s="7" customFormat="1" x14ac:dyDescent="0.2"/>
    <row r="21" s="7" customFormat="1" x14ac:dyDescent="0.2"/>
    <row r="22" s="7" customFormat="1" x14ac:dyDescent="0.2"/>
    <row r="23" s="7" customFormat="1" x14ac:dyDescent="0.2"/>
    <row r="24" s="7" customFormat="1" x14ac:dyDescent="0.2"/>
    <row r="25" s="7" customFormat="1" x14ac:dyDescent="0.2"/>
    <row r="26" s="7" customFormat="1" x14ac:dyDescent="0.2"/>
    <row r="27" s="7" customFormat="1" x14ac:dyDescent="0.2"/>
    <row r="28" s="7" customFormat="1" x14ac:dyDescent="0.2"/>
    <row r="29" s="7" customFormat="1" x14ac:dyDescent="0.2"/>
    <row r="30" s="7" customFormat="1" x14ac:dyDescent="0.2"/>
    <row r="31" s="7" customFormat="1" x14ac:dyDescent="0.2"/>
    <row r="32" s="7" customFormat="1" x14ac:dyDescent="0.2"/>
    <row r="33" s="7" customFormat="1" x14ac:dyDescent="0.2"/>
    <row r="34" s="7" customFormat="1" x14ac:dyDescent="0.2"/>
    <row r="35" s="7" customFormat="1" x14ac:dyDescent="0.2"/>
    <row r="36" s="7" customFormat="1" x14ac:dyDescent="0.2"/>
    <row r="37" s="7" customFormat="1" x14ac:dyDescent="0.2"/>
    <row r="38" s="7" customFormat="1" x14ac:dyDescent="0.2"/>
    <row r="39" s="7" customFormat="1" x14ac:dyDescent="0.2"/>
    <row r="40" s="7" customFormat="1" x14ac:dyDescent="0.2"/>
    <row r="41" s="7" customFormat="1" x14ac:dyDescent="0.2"/>
    <row r="42" s="7" customFormat="1" x14ac:dyDescent="0.2"/>
    <row r="43" s="7" customFormat="1" x14ac:dyDescent="0.2"/>
    <row r="44" s="7" customFormat="1" x14ac:dyDescent="0.2"/>
    <row r="45" s="7" customFormat="1" x14ac:dyDescent="0.2"/>
    <row r="46" s="7" customFormat="1" x14ac:dyDescent="0.2"/>
    <row r="47" s="7" customFormat="1" x14ac:dyDescent="0.2"/>
    <row r="48" s="7" customFormat="1" x14ac:dyDescent="0.2"/>
    <row r="49" s="7" customFormat="1" x14ac:dyDescent="0.2"/>
    <row r="50" s="7" customFormat="1" x14ac:dyDescent="0.2"/>
    <row r="51" s="7" customFormat="1" x14ac:dyDescent="0.2"/>
    <row r="52" s="7" customFormat="1" x14ac:dyDescent="0.2"/>
    <row r="53" s="7" customFormat="1" x14ac:dyDescent="0.2"/>
    <row r="54" s="7" customFormat="1" x14ac:dyDescent="0.2"/>
    <row r="55" s="7" customFormat="1" x14ac:dyDescent="0.2"/>
    <row r="56" s="7" customFormat="1" x14ac:dyDescent="0.2"/>
    <row r="57" s="7" customFormat="1" x14ac:dyDescent="0.2"/>
    <row r="58" s="7" customFormat="1" x14ac:dyDescent="0.2"/>
    <row r="59" s="7" customFormat="1" x14ac:dyDescent="0.2"/>
  </sheetData>
  <mergeCells count="7">
    <mergeCell ref="AE6:AF8"/>
    <mergeCell ref="Q2:X5"/>
    <mergeCell ref="F6:I8"/>
    <mergeCell ref="J6:K8"/>
    <mergeCell ref="Q6:S8"/>
    <mergeCell ref="T6:V8"/>
    <mergeCell ref="AA6:AD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ACA801D8-F2F2-4448-BF7D-56FF6212B7F5}">
  <ds:schemaRefs/>
</ds:datastoreItem>
</file>

<file path=customXml/itemProps2.xml><?xml version="1.0" encoding="utf-8"?>
<ds:datastoreItem xmlns:ds="http://schemas.openxmlformats.org/officeDocument/2006/customXml" ds:itemID="{5244AB40-9ADD-4930-815D-11112477B841}">
  <ds:schemaRefs/>
</ds:datastoreItem>
</file>

<file path=customXml/itemProps3.xml><?xml version="1.0" encoding="utf-8"?>
<ds:datastoreItem xmlns:ds="http://schemas.openxmlformats.org/officeDocument/2006/customXml" ds:itemID="{A3726211-40DD-423C-9E38-642F047909EA}">
  <ds:schemaRefs>
    <ds:schemaRef ds:uri="http://schemas.microsoft.com/DataMashup"/>
  </ds:schemaRefs>
</ds:datastoreItem>
</file>

<file path=customXml/itemProps4.xml><?xml version="1.0" encoding="utf-8"?>
<ds:datastoreItem xmlns:ds="http://schemas.openxmlformats.org/officeDocument/2006/customXml" ds:itemID="{74B705B5-4E84-4E33-A062-CADE26EECCEC}">
  <ds:schemaRefs/>
</ds:datastoreItem>
</file>

<file path=customXml/itemProps5.xml><?xml version="1.0" encoding="utf-8"?>
<ds:datastoreItem xmlns:ds="http://schemas.openxmlformats.org/officeDocument/2006/customXml" ds:itemID="{C2DC0A5A-CAA9-4F3B-BF0F-54EFD9E57271}">
  <ds:schemaRefs/>
</ds:datastoreItem>
</file>

<file path=customXml/itemProps6.xml><?xml version="1.0" encoding="utf-8"?>
<ds:datastoreItem xmlns:ds="http://schemas.openxmlformats.org/officeDocument/2006/customXml" ds:itemID="{76646B5E-5D7B-4F1A-A257-07997AB05435}">
  <ds:schemaRefs/>
</ds:datastoreItem>
</file>

<file path=customXml/itemProps7.xml><?xml version="1.0" encoding="utf-8"?>
<ds:datastoreItem xmlns:ds="http://schemas.openxmlformats.org/officeDocument/2006/customXml" ds:itemID="{4A73CC7C-8169-4522-AA64-C805F16CA112}">
  <ds:schemaRefs/>
</ds:datastoreItem>
</file>

<file path=customXml/itemProps8.xml><?xml version="1.0" encoding="utf-8"?>
<ds:datastoreItem xmlns:ds="http://schemas.openxmlformats.org/officeDocument/2006/customXml" ds:itemID="{61CB6271-1493-4E64-8B14-0C238A2DEFB2}">
  <ds:schemaRefs/>
</ds:datastoreItem>
</file>

<file path=customXml/itemProps9.xml><?xml version="1.0" encoding="utf-8"?>
<ds:datastoreItem xmlns:ds="http://schemas.openxmlformats.org/officeDocument/2006/customXml" ds:itemID="{B7CBBC30-D21A-4DF3-A648-F2A6AFECF16F}">
  <ds:schemaRefs/>
</ds:datastoreItem>
</file>

<file path=customXml/itemProps10.xml><?xml version="1.0" encoding="utf-8"?>
<ds:datastoreItem xmlns:ds="http://schemas.openxmlformats.org/officeDocument/2006/customXml" ds:itemID="{95C72AFE-AC98-487E-8077-0CD1C702B8D3}">
  <ds:schemaRefs/>
</ds:datastoreItem>
</file>

<file path=customXml/itemProps11.xml><?xml version="1.0" encoding="utf-8"?>
<ds:datastoreItem xmlns:ds="http://schemas.openxmlformats.org/officeDocument/2006/customXml" ds:itemID="{3513ED60-E9B9-49F6-9442-B65B154ACB78}">
  <ds:schemaRefs/>
</ds:datastoreItem>
</file>

<file path=customXml/itemProps12.xml><?xml version="1.0" encoding="utf-8"?>
<ds:datastoreItem xmlns:ds="http://schemas.openxmlformats.org/officeDocument/2006/customXml" ds:itemID="{02EFE86E-E610-4393-AF9C-7B8A3BB48C61}">
  <ds:schemaRefs/>
</ds:datastoreItem>
</file>

<file path=customXml/itemProps13.xml><?xml version="1.0" encoding="utf-8"?>
<ds:datastoreItem xmlns:ds="http://schemas.openxmlformats.org/officeDocument/2006/customXml" ds:itemID="{44F01F54-DB4F-4B1D-A191-9DC158170E0F}">
  <ds:schemaRefs/>
</ds:datastoreItem>
</file>

<file path=customXml/itemProps14.xml><?xml version="1.0" encoding="utf-8"?>
<ds:datastoreItem xmlns:ds="http://schemas.openxmlformats.org/officeDocument/2006/customXml" ds:itemID="{FB12ACAB-3DD6-4907-AF99-48F0A5253581}">
  <ds:schemaRefs/>
</ds:datastoreItem>
</file>

<file path=customXml/itemProps15.xml><?xml version="1.0" encoding="utf-8"?>
<ds:datastoreItem xmlns:ds="http://schemas.openxmlformats.org/officeDocument/2006/customXml" ds:itemID="{4E1E7164-B21B-4479-9FB3-3B4FEF4EAAE3}">
  <ds:schemaRefs/>
</ds:datastoreItem>
</file>

<file path=customXml/itemProps16.xml><?xml version="1.0" encoding="utf-8"?>
<ds:datastoreItem xmlns:ds="http://schemas.openxmlformats.org/officeDocument/2006/customXml" ds:itemID="{D4AF314D-A003-4064-AE6F-4ED39F44BE7E}">
  <ds:schemaRefs/>
</ds:datastoreItem>
</file>

<file path=customXml/itemProps17.xml><?xml version="1.0" encoding="utf-8"?>
<ds:datastoreItem xmlns:ds="http://schemas.openxmlformats.org/officeDocument/2006/customXml" ds:itemID="{A2A21223-E152-4028-BA5D-3145E9148A35}">
  <ds:schemaRefs/>
</ds:datastoreItem>
</file>

<file path=customXml/itemProps18.xml><?xml version="1.0" encoding="utf-8"?>
<ds:datastoreItem xmlns:ds="http://schemas.openxmlformats.org/officeDocument/2006/customXml" ds:itemID="{72FE6954-8569-4922-B56D-20BB6F004C1B}">
  <ds:schemaRefs/>
</ds:datastoreItem>
</file>

<file path=customXml/itemProps19.xml><?xml version="1.0" encoding="utf-8"?>
<ds:datastoreItem xmlns:ds="http://schemas.openxmlformats.org/officeDocument/2006/customXml" ds:itemID="{2C366A32-389F-4730-8A07-C7142AB8433D}">
  <ds:schemaRefs/>
</ds:datastoreItem>
</file>

<file path=customXml/itemProps20.xml><?xml version="1.0" encoding="utf-8"?>
<ds:datastoreItem xmlns:ds="http://schemas.openxmlformats.org/officeDocument/2006/customXml" ds:itemID="{825B8490-6D64-45D1-A0C7-A43D30A2C8C1}">
  <ds:schemaRefs/>
</ds:datastoreItem>
</file>

<file path=customXml/itemProps21.xml><?xml version="1.0" encoding="utf-8"?>
<ds:datastoreItem xmlns:ds="http://schemas.openxmlformats.org/officeDocument/2006/customXml" ds:itemID="{06A9EA05-5130-4973-97C2-94505DBC92D4}">
  <ds:schemaRefs/>
</ds:datastoreItem>
</file>

<file path=customXml/itemProps22.xml><?xml version="1.0" encoding="utf-8"?>
<ds:datastoreItem xmlns:ds="http://schemas.openxmlformats.org/officeDocument/2006/customXml" ds:itemID="{CE904E1C-9C5F-4808-AFF3-9897BD221A86}">
  <ds:schemaRefs/>
</ds:datastoreItem>
</file>

<file path=customXml/itemProps23.xml><?xml version="1.0" encoding="utf-8"?>
<ds:datastoreItem xmlns:ds="http://schemas.openxmlformats.org/officeDocument/2006/customXml" ds:itemID="{A37B2AF1-9C36-4211-92CC-A2F6A8220663}">
  <ds:schemaRefs/>
</ds:datastoreItem>
</file>

<file path=customXml/itemProps24.xml><?xml version="1.0" encoding="utf-8"?>
<ds:datastoreItem xmlns:ds="http://schemas.openxmlformats.org/officeDocument/2006/customXml" ds:itemID="{E9EADDBA-5090-44D4-A35E-9EA62ADA9688}">
  <ds:schemaRefs/>
</ds:datastoreItem>
</file>

<file path=customXml/itemProps25.xml><?xml version="1.0" encoding="utf-8"?>
<ds:datastoreItem xmlns:ds="http://schemas.openxmlformats.org/officeDocument/2006/customXml" ds:itemID="{3FC4EFB0-421D-41FB-ABF6-E1454FC5E9D4}">
  <ds:schemaRefs/>
</ds:datastoreItem>
</file>

<file path=customXml/itemProps26.xml><?xml version="1.0" encoding="utf-8"?>
<ds:datastoreItem xmlns:ds="http://schemas.openxmlformats.org/officeDocument/2006/customXml" ds:itemID="{5125E40D-B960-4627-9CB3-D0D20DA02583}">
  <ds:schemaRefs/>
</ds:datastoreItem>
</file>

<file path=customXml/itemProps27.xml><?xml version="1.0" encoding="utf-8"?>
<ds:datastoreItem xmlns:ds="http://schemas.openxmlformats.org/officeDocument/2006/customXml" ds:itemID="{39D43FB9-2B4A-4D00-BB87-BB5C01DF45EB}">
  <ds:schemaRefs/>
</ds:datastoreItem>
</file>

<file path=customXml/itemProps28.xml><?xml version="1.0" encoding="utf-8"?>
<ds:datastoreItem xmlns:ds="http://schemas.openxmlformats.org/officeDocument/2006/customXml" ds:itemID="{CDF0EF99-79CB-4DFD-8A3B-DECCB976F810}">
  <ds:schemaRefs/>
</ds:datastoreItem>
</file>

<file path=customXml/itemProps29.xml><?xml version="1.0" encoding="utf-8"?>
<ds:datastoreItem xmlns:ds="http://schemas.openxmlformats.org/officeDocument/2006/customXml" ds:itemID="{502165E7-211D-47D3-9EB8-6F0334ACD412}">
  <ds:schemaRefs/>
</ds:datastoreItem>
</file>

<file path=customXml/itemProps30.xml><?xml version="1.0" encoding="utf-8"?>
<ds:datastoreItem xmlns:ds="http://schemas.openxmlformats.org/officeDocument/2006/customXml" ds:itemID="{1DC26E4F-AD51-4EBF-9748-273249A16C57}">
  <ds:schemaRefs/>
</ds:datastoreItem>
</file>

<file path=customXml/itemProps31.xml><?xml version="1.0" encoding="utf-8"?>
<ds:datastoreItem xmlns:ds="http://schemas.openxmlformats.org/officeDocument/2006/customXml" ds:itemID="{FB47C5C8-7064-4959-A060-2CA0A6772C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sob7y</dc:creator>
  <cp:lastModifiedBy>Mazen Abukabsha</cp:lastModifiedBy>
  <dcterms:created xsi:type="dcterms:W3CDTF">2015-06-05T18:17:20Z</dcterms:created>
  <dcterms:modified xsi:type="dcterms:W3CDTF">2026-09-13T09:19:15Z</dcterms:modified>
</cp:coreProperties>
</file>